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de Maturidade" sheetId="1" state="visible" r:id="rId3"/>
    <sheet name="Perfil e Porte" sheetId="2" state="visible" r:id="rId4"/>
    <sheet name="Notas de Consolidaçã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<sst xmlns="http://schemas.openxmlformats.org/spreadsheetml/2006/main" count="390" uniqueCount="221">
  <si>
    <t xml:space="preserve">EnergIA 5.0 — Matriz de Maturidade por Dimensão Analítica (DA-I a DA-VI)</t>
  </si>
  <si>
    <t xml:space="preserve">Consolidação de todas as análises feitas com o skill 'analise-relatorio-sustentabilidade' (25 relatórios, 5 empresas x 5 anos, 2021-2025) — atualizada com nova varredura do histórico de chats</t>
  </si>
  <si>
    <t xml:space="preserve">Empresa</t>
  </si>
  <si>
    <t xml:space="preserve">Ano relatório</t>
  </si>
  <si>
    <t xml:space="preserve">Padrão do relatório</t>
  </si>
  <si>
    <t xml:space="preserve">Setor/subsetor</t>
  </si>
  <si>
    <t xml:space="preserve">DA-I (%)</t>
  </si>
  <si>
    <t xml:space="preserve">DA-II (%)</t>
  </si>
  <si>
    <t xml:space="preserve">DA-III (%)</t>
  </si>
  <si>
    <t xml:space="preserve">DA-IV (%)</t>
  </si>
  <si>
    <t xml:space="preserve">DA-V (%)</t>
  </si>
  <si>
    <t xml:space="preserve">DA-VI (%)</t>
  </si>
  <si>
    <t xml:space="preserve">Maturidade média (%)</t>
  </si>
  <si>
    <t xml:space="preserve">Achados-chave</t>
  </si>
  <si>
    <t xml:space="preserve">Observações de consolidação</t>
  </si>
  <si>
    <t xml:space="preserve">Chat original</t>
  </si>
  <si>
    <t xml:space="preserve">Energisa</t>
  </si>
  <si>
    <t xml:space="preserve">GRI + SASB + COP Pacto Global</t>
  </si>
  <si>
    <t xml:space="preserve">Distribuição, transmissão, geração renovável e comercialização</t>
  </si>
  <si>
    <t xml:space="preserve">1º inventário de GEE (GHG Protocol); fortes dados sociais/governança; quase nenhum CAPEX/OPEX/LCOE de transição.</t>
  </si>
  <si>
    <t xml:space="preserve">Dados completos.</t>
  </si>
  <si>
    <t xml:space="preserve">Abrir chat</t>
  </si>
  <si>
    <t xml:space="preserve">Relato integrado com diretrizes GRI; verificação KPMG</t>
  </si>
  <si>
    <t xml:space="preserve">Distribuição, transmissão, geração e comercialização (10 distribuidoras)</t>
  </si>
  <si>
    <t xml:space="preserve">Título verde R$750mi; 263,6 MW renovável próprio; treinamento 42,41h; acidentes 4,81.</t>
  </si>
  <si>
    <t xml:space="preserve">GRI Standards + GRI 1 (2021); Selo Ouro FGV</t>
  </si>
  <si>
    <t xml:space="preserve">Distribuição/transmissão elétrica; gás natural (ES Gás); biometano</t>
  </si>
  <si>
    <t xml:space="preserve">DEC/FEC por distribuidora; capex R$4,4bi; treinamento 69,44h(H)/26,26h(M); GRI 306 (resíduos) não reportado por decisão organizacional; meta 2050.</t>
  </si>
  <si>
    <t xml:space="preserve">Dados completos (maturidade geral ~67%).</t>
  </si>
  <si>
    <t xml:space="preserve">GRI Standards 2021</t>
  </si>
  <si>
    <t xml:space="preserve">Distribuição/transmissão elétrica; gás natural; biometano; geração distribuída</t>
  </si>
  <si>
    <t xml:space="preserve">Maturidade geral: 54% (13/24). GEE total 5.910.116,58 tCO2e; treinamento 47,5h/colaborador; 104 acidentes; IA para manutenção de linhas; NIST CSF.</t>
  </si>
  <si>
    <t xml:space="preserve">DA-VI estimado por consistência aritmética a partir do total geral de 54% (13/24) declarado no chat; demais dimensões confirmadas diretamente.</t>
  </si>
  <si>
    <t xml:space="preserve">GRI Standards 2021; verificação SGS Brasil (ISAE 3000)</t>
  </si>
  <si>
    <t xml:space="preserve">Distribuição/transmissão elétrica; gás natural; biometano; geração</t>
  </si>
  <si>
    <t xml:space="preserve">Investimento R$6,6bi; GEE total 5.882.718 tCO2e; treinamento 65,48h/empregado; meta 2050; barreiras regulatórias (fragmentação estadual gás/biometano).</t>
  </si>
  <si>
    <t xml:space="preserve">ENGIE Brasil</t>
  </si>
  <si>
    <t xml:space="preserve">GRI (opção Essential); verificação BVQI</t>
  </si>
  <si>
    <t xml:space="preserve">Geração (hidro, eólica, solar, biomassa), transmissão e comercialização</t>
  </si>
  <si>
    <t xml:space="preserve">95,8% renovável; meta 2045 (Grupo ENGIE Net Zero); sem digital twin/IoT/IA preditiva.</t>
  </si>
  <si>
    <t xml:space="preserve">GRI + SASB + TCFD</t>
  </si>
  <si>
    <t xml:space="preserve">Geração renovável e transmissão de gás</t>
  </si>
  <si>
    <t xml:space="preserve">86% renovável; disponibilidade 92,5%; CAPEX acumulado &gt;R$20bi; NetZero 2045; GEE escopo1 ~1,09Mt; 99,9% resíduos recuperados; IoT/ML detecção de anomalias.</t>
  </si>
  <si>
    <t xml:space="preserve">GRI + SASB + GRI G4 setor elétrico</t>
  </si>
  <si>
    <t xml:space="preserve">Geração 100% renovável, comercialização, trading e transmissão</t>
  </si>
  <si>
    <t xml:space="preserve">100% renovável (8.324,1 MW); CAPEX R$2.854mi (91% renováveis); TRIR 0,94; GEE 671.723 tCO2e. Cobertura geral ~67% (17/24).</t>
  </si>
  <si>
    <t xml:space="preserve">Dados completos — DA-III (treinamento 72,4h; TRIR 0,94; empregos locais NR — dado pontual de projeto; consulta comunitária confirmada) e DA-IV (digital twin NR; IoT/IA ambíguos tratados como NR; cibersegurança confirmada sem valor) recuperados com precisão nesta nova consolidação.</t>
  </si>
  <si>
    <t xml:space="preserve">GRI</t>
  </si>
  <si>
    <t xml:space="preserve">Geração 100% renovável e transmissão</t>
  </si>
  <si>
    <t xml:space="preserve">100% renovável (9,6 GW); investimento R$9,7bi em 2024; zero fatalidades empregados próprios; Lei do Bem (54 projetos, ~R$29,3mi).</t>
  </si>
  <si>
    <t xml:space="preserve">GRI + SASB IF-EU</t>
  </si>
  <si>
    <t xml:space="preserve">Geração 100% renovável (hidro, eólica, solar, biomassa, PCH), transmissão e comercialização</t>
  </si>
  <si>
    <t xml:space="preserve">100% renovável (12,4 GW); disponibilidade hidrelétrica 96,2%/eólica 92,8%/solar 90,9%/transmissão 99,97%; CAPEX R$2,8bi (2025).</t>
  </si>
  <si>
    <t xml:space="preserve">Dados completos — DA-III (88.914h treinamento total/67,8h por colaborador; TF prestadores 0,690; empregos locais NR; consulta comunitária confirmada) e DA-IV (digital twin NR; IoT e IA preditiva confirmados; cibersegurança confirmada sem valor) recuperados nesta nova consolidação.</t>
  </si>
  <si>
    <t xml:space="preserve">Statkraft Brasil</t>
  </si>
  <si>
    <t xml:space="preserve">GRI (1º relatório da empresa nesse modelo)</t>
  </si>
  <si>
    <t xml:space="preserve">Geração hidrelétrica e eólica, 100% renovável</t>
  </si>
  <si>
    <t xml:space="preserve">100% renovável; disponibilidade 88,3-89,93%; CAPEX R$2,5bi (Complexo Eólico Ventos de Santa Eugênia); resíduos reciclados 97,64%; meta 2040; inventário formal de GEE só a partir de 2022.</t>
  </si>
  <si>
    <t xml:space="preserve">GRI + Pacto Global + Manual ANEEL</t>
  </si>
  <si>
    <t xml:space="preserve">Disponibilidade hidrelétrica 96,97%/eólica 91,06%; CAPEX R$2,8bi (BNB); GEE 34.560,89 tCO2e; água ~47.597,10 m³; resíduos reciclados ~25,04%; meta 2040. DA-V subiu de 25%-&gt;100% após inspeção visual.</t>
  </si>
  <si>
    <t xml:space="preserve">Dados completos — confirmado via troca com o usuário: DA-III (só consulta comunitária reportada; treinamento, taxa de acidentes e empregos locais NR) e DA-IV (IoT e IA preditiva confirmados; digital twin e investimento em cibersegurança NR) recuperados com precisão nesta nova consolidação.</t>
  </si>
  <si>
    <t xml:space="preserve">Disponibilidade 96,9% (94% eólica/98% hídrica); BESS piloto 1MW + 228MW planejado; treinamento 35,26h; GEE total 57.586,27 tCO2e; água 63.887,92 m³; resíduos reciclados 11,4%; meta 2050.</t>
  </si>
  <si>
    <t xml:space="preserve">GRI (formato apresentação/slide-deck)</t>
  </si>
  <si>
    <t xml:space="preserve">Geração hidrelétrica, eólica e solar, 100% renovável</t>
  </si>
  <si>
    <t xml:space="preserve">Pure-play renovável (2,24 GW); resíduos reciclados ~84,4%; meta 2040; nenhum dado de CAPEX/OPEX/LCOE/MCDM.</t>
  </si>
  <si>
    <t xml:space="preserve">IoT e IA preditiva (BladeOne); CAPEX/OPEX/LCOE ausentes; sem meta de neutralidade explícita; inconsistência de unidade na pegada hídrica.</t>
  </si>
  <si>
    <t xml:space="preserve">Neoenergia</t>
  </si>
  <si>
    <t xml:space="preserve">GRI + SASB</t>
  </si>
  <si>
    <t xml:space="preserve">Geração (renovável e térmica), transmissão e distribuição</t>
  </si>
  <si>
    <t xml:space="preserve">88,3% renovável (4.015/4.547 MW); CAPEX R$3,1bi em renováveis; treinamento 83,5h; meta 2050. Cobertura geral: 67% (15/22).</t>
  </si>
  <si>
    <t xml:space="preserve">DA-III e DA-IV estimados por consistência com o total geral de 67% (15/22) declarado; treinamento e consulta comunitária confirmados em DA-III, IoT e IA preditiva confirmados em DA-IV pelo resumo original.</t>
  </si>
  <si>
    <t xml:space="preserve">GRI + IIRC + Manual ANEEL + SASB + TCFD</t>
  </si>
  <si>
    <t xml:space="preserve">Geração (hidro, eólica, solar, térmica), transmissão e distribuição; controlada por Iberdrola</t>
  </si>
  <si>
    <t xml:space="preserve">90% renovável (4.568/5.100 MW); CAPEX R$1,7bi (segmento Renováveis); treinamento total 1.369.546h; digital twin confirmado (parceria startup Automa); resíduos reciclados 71,3% (calculado).</t>
  </si>
  <si>
    <t xml:space="preserve">Dados completos — DA-V (emissões, pegada hídrica, resíduos reciclados 25,04% e meta de neutralidade 2040 confirmados) e DA-VI (incentivos, 7 parcerias institucionais e barreiras regulatórias confirmados) recuperados nesta nova consolidação.</t>
  </si>
  <si>
    <t xml:space="preserve">GRI + SASB IF-EU + normas setoriais EU</t>
  </si>
  <si>
    <t xml:space="preserve">Distribuição, transmissão, geração renovável e térmica, comercialização</t>
  </si>
  <si>
    <t xml:space="preserve">88% renovável (4.394 MW); disponibilidade &gt;96%; treinamento total ~1,56 milhão de horas; taxa de acidentes 0,23; meta antes de 2040; R$587mi em incentivos fiscais regionais (Sudam/Sudene).</t>
  </si>
  <si>
    <t xml:space="preserve">Dados completos (maturidade geral ~65%).</t>
  </si>
  <si>
    <t xml:space="preserve">Relato de informação não financeira / GRI + SASB + ODS</t>
  </si>
  <si>
    <t xml:space="preserve">Geração, transmissão, distribuição e comercialização; Grupo Iberdrola</t>
  </si>
  <si>
    <t xml:space="preserve">88% renovável (3.862/4.412 MW); CAPEX R$9,8bi; OPEX R$38.223mi; 'Dossiê de Investimento' com dossiê climático multidimensional (MCDM indireto).</t>
  </si>
  <si>
    <t xml:space="preserve">Dados completos — DA-III (treinamento, acidentes e consulta comunitária confirmados; empregos locais NR), DA-IV (digital twin, IoT e IA preditiva confirmados — 100%), DA-V (emissões, pegada hídrica, 83% resíduos reciclados e meta antes de 2040 confirmados — 100%) e DA-VI (incentivos e barreiras regulatórias confirmados; parcerias sem contagem total — 67%) recuperados nesta nova consolidação.</t>
  </si>
  <si>
    <t xml:space="preserve">GRI, com referências SASB e ODS</t>
  </si>
  <si>
    <t xml:space="preserve">Geração (hidro, eólica, solar, térmica), transmissão, distribuição e comercialização</t>
  </si>
  <si>
    <t xml:space="preserve">87% renovável (4.167 MW); 29 Planos de Continuidade; BESS 9 MVA + 49 MWh (Noronha Verde); GEE escopo3 1.873.752 tCO2e; água 219 ML; meta 2039 (SBTi); 44 parcerias tecnológicas Aneel; controlada por Iberdrola (83,8%).</t>
  </si>
  <si>
    <t xml:space="preserve">Dados completos (maturidade geral ~83,3%).</t>
  </si>
  <si>
    <t xml:space="preserve">Petrobras</t>
  </si>
  <si>
    <t xml:space="preserve">GRI Standards (opção Essential)</t>
  </si>
  <si>
    <t xml:space="preserve">Óleo e gás integrado (E&amp;P, midstream, refino)</t>
  </si>
  <si>
    <t xml:space="preserve">CAPEX de transição US$2,8bi (PE 2022-26); treinamento 63,34h; TFCA 0,34; consulta comunitária 94,2% dos ativos; GEE 62 milhões tCO2e; água ~3,09 bilhões m³; digital twin em refinarias (RefTOP).</t>
  </si>
  <si>
    <t xml:space="preserve">GRI Standards 2021 + SASB + Ipieca</t>
  </si>
  <si>
    <t xml:space="preserve">CAPEX transição US$4,4bi (PE 2023-27); MCDM para diversificação (eólica offshore, hidrogênio, CCUS); TAR 0,68 (5 fatalidades); IA para detecção de vazamentos.</t>
  </si>
  <si>
    <t xml:space="preserve">Óleo e gás integrado, com frente de energias de baixo carbono</t>
  </si>
  <si>
    <t xml:space="preserve">100% da energia elétrica comprada para operações no Brasil é renovável via I-REC (não é o mix total de produção); uso de IoT confirmado (p.156). Resumo original indica cobertura moderada (50-75%) em DA-I/II/III, DA-IV fraco (25%), DA-V/VI fortes (75-100%).</t>
  </si>
  <si>
    <t xml:space="preserve">Dados completos — DA-II (MCDM com UFRJ confirmado), DA-III (taxa de acidentes, 280 mil empregos e consulta comunitária confirmados; horas de treinamento remete a Painel ASG externo, NR), DA-IV (IoT confirmado; digital twin, IA preditiva e cibersegurança NR), DA-V (emissões, 91% resíduos reciclados e meta 2050 confirmados; pegada hídrica NR) e DA-VI (incentivos, 3 parcerias e barreiras regulatórias confirmados — 100%) recuperados nesta nova consolidação.</t>
  </si>
  <si>
    <t xml:space="preserve">GRI Standards + SASB</t>
  </si>
  <si>
    <t xml:space="preserve">Óleo e gás integrado, com negócios de baixo carbono</t>
  </si>
  <si>
    <t xml:space="preserve">CAPEX de transição US$16,3bi; MCDM com COPPE-UFRJ (descomissionamento); treinamento 84h; TFCA 0,26; digital twin (Libra 4.0); GEE 47 milhões tCO2e; REPETRO-SPED.</t>
  </si>
  <si>
    <t xml:space="preserve">GRI Standards + SASB (versão padronizada)</t>
  </si>
  <si>
    <t xml:space="preserve">Painel ASG 2025 (p.234-236) em formato gráfico impediu extração textual do GEE total absoluto e da captação de água; treinamento 97-99h; TAR 0,71; digital twin em múltiplas aplicações; ChatPetrobras (IA interna).</t>
  </si>
  <si>
    <t xml:space="preserve">Dados completos (versão padronizada, comparável às demais).</t>
  </si>
  <si>
    <t xml:space="preserve">Legenda:</t>
  </si>
  <si>
    <t xml:space="preserve">Amarelo = percentual nao recuperado nesta nova varredura do historico de chats (nao significa que o relatorio original nao trouxe o dado - abrir o chat original para confirmar).</t>
  </si>
  <si>
    <t xml:space="preserve">Azul claro = percentual estimado por consistencia aritmetica a partir da maturidade media geral declarada no chat original (quando as demais 5 dimensoes sao conhecidas e o total do relatorio foi informado, a dimensao restante foi calculada por diferenca). Marcado explicitamente na coluna de observacoes.</t>
  </si>
  <si>
    <t xml:space="preserve">Maturidade media = media simples das dimensoes com percentual conhecido (formula AVERAGE, ignora celulas vazias).</t>
  </si>
  <si>
    <t xml:space="preserve">EnergIA 5.0 — Perfil e Porte das Empresas</t>
  </si>
  <si>
    <t xml:space="preserve">Campos PORTE_ extraídos quando mencionados nos chats consolidados. Muitas células ficam em branco porque o bloco de perfil/porte foi adicionado ao skill depois de várias análises já terem sido feitas.</t>
  </si>
  <si>
    <t xml:space="preserve">Setor/elos da cadeia</t>
  </si>
  <si>
    <t xml:space="preserve">% Matriz renovável</t>
  </si>
  <si>
    <t xml:space="preserve">Capacidade/Investimento citado</t>
  </si>
  <si>
    <t xml:space="preserve">Meta de neutralidade de carbono</t>
  </si>
  <si>
    <t xml:space="preserve">Controlador/Grupo</t>
  </si>
  <si>
    <t xml:space="preserve">Observação de porte</t>
  </si>
  <si>
    <t xml:space="preserve">Não consolidado no relatório — só há metas em MW (1,7 GW renovável até 2026)</t>
  </si>
  <si>
    <t xml:space="preserve">0,62 MWp armazenamento GD; meta 1,7GW renovável até 2026</t>
  </si>
  <si>
    <t xml:space="preserve">Sem ano-meta explícito no relatório de 2021</t>
  </si>
  <si>
    <t xml:space="preserve">Grupo Energisa</t>
  </si>
  <si>
    <t xml:space="preserve">Atua em múltiplos elos (distribuição, transmissão, geração, comercialização); presença em 9-10 distribuidoras regionais.</t>
  </si>
  <si>
    <t xml:space="preserve">43,9% da meta (263,6 MW de 600 MW)</t>
  </si>
  <si>
    <t xml:space="preserve">Título verde R$750 milhões</t>
  </si>
  <si>
    <t xml:space="preserve">2050 (mencionada em relatórios posteriores)</t>
  </si>
  <si>
    <t xml:space="preserve">Empresa integrada, atuação nacional multirregional.</t>
  </si>
  <si>
    <t xml:space="preserve">Não consolidado no relatório — só há metas em MW</t>
  </si>
  <si>
    <t xml:space="preserve">Investimento total R$4,4bi</t>
  </si>
  <si>
    <t xml:space="preserve">2050 ("alcançar a neutralidade nas emissões de carbono até 2050", um dos 9 compromissos ASG públicos, p.32)</t>
  </si>
  <si>
    <t xml:space="preserve">Diversificação para gás natural e biometano.</t>
  </si>
  <si>
    <t xml:space="preserve">Distribuição/transmissão; gás natural; biometano; geração distribuída</t>
  </si>
  <si>
    <t xml:space="preserve">Não consolidado no relatório</t>
  </si>
  <si>
    <t xml:space="preserve">R$ 332,4 milhões (investimento específico em novas plantas solares distribuídas, 440,7 MWp instalados)</t>
  </si>
  <si>
    <t xml:space="preserve">Sem ano-meta explícito — relatório fala em "jornada rumo à neutralidade" e cita o Plano de Descarbonização com UFRJ/WayCarbon</t>
  </si>
  <si>
    <t xml:space="preserve">800 mil horas de treinamento total no ano (proxy de porte de força de trabalho).</t>
  </si>
  <si>
    <t xml:space="preserve">Distribuição/transmissão; gás natural; biometano; geração</t>
  </si>
  <si>
    <t xml:space="preserve">Sem percentual numérico — relatório usa apenas a expressão "matriz elétrica majoritariamente renovável"</t>
  </si>
  <si>
    <t xml:space="preserve">Investimento total R$6,6bi</t>
  </si>
  <si>
    <t xml:space="preserve">2050</t>
  </si>
  <si>
    <t xml:space="preserve">Modelo predominante de distribuidora/transmissora, não geradora pura.</t>
  </si>
  <si>
    <t xml:space="preserve">Geração (hidro, eólica, solar, biomassa), transmissão, comercialização</t>
  </si>
  <si>
    <t xml:space="preserve">95,8%</t>
  </si>
  <si>
    <t xml:space="preserve">Sem percentual numérico consolidado nesta consolidação</t>
  </si>
  <si>
    <t xml:space="preserve">2045 (meta do Grupo ENGIE)</t>
  </si>
  <si>
    <t xml:space="preserve">Grupo ENGIE (França)</t>
  </si>
  <si>
    <t xml:space="preserve">Ambiguidade entre metas do Grupo global e da subsidiária brasileira.</t>
  </si>
  <si>
    <t xml:space="preserve">86%</t>
  </si>
  <si>
    <t xml:space="preserve">CAPEX acumulado &gt;R$20bi em descarbonização</t>
  </si>
  <si>
    <t xml:space="preserve">2045 (Grupo)</t>
  </si>
  <si>
    <t xml:space="preserve">—</t>
  </si>
  <si>
    <t xml:space="preserve">Geração 100% renovável, comercialização, trading, transmissão</t>
  </si>
  <si>
    <t xml:space="preserve">100% (8.324,1 MW)</t>
  </si>
  <si>
    <t xml:space="preserve">CAPEX R$2.854 milhões; estimativa de R$13,8bi 2024-2026</t>
  </si>
  <si>
    <t xml:space="preserve">2045 (ambíguo Grupo x Brasil)</t>
  </si>
  <si>
    <t xml:space="preserve">Maior geradora 100% renovável do Brasil, segundo o próprio relatório.</t>
  </si>
  <si>
    <t xml:space="preserve">100% (9,6 GW)</t>
  </si>
  <si>
    <t xml:space="preserve">Investimento R$9,7bi em 2024</t>
  </si>
  <si>
    <t xml:space="preserve">Sem ano-meta explícito — relatório menciona "neutralidade climática" como conceito estratégico</t>
  </si>
  <si>
    <t xml:space="preserve">Geração 100% renovável (hidro, eólica, solar, biomassa, PCH), transmissão, comercialização</t>
  </si>
  <si>
    <t xml:space="preserve">100% (12,4 GW)</t>
  </si>
  <si>
    <t xml:space="preserve">CAPEX R$2,8bi (2025)</t>
  </si>
  <si>
    <t xml:space="preserve">Sem ano-meta identificado nesta consolidação — ver chat original</t>
  </si>
  <si>
    <t xml:space="preserve">133 usinas operadas.</t>
  </si>
  <si>
    <t xml:space="preserve">100%</t>
  </si>
  <si>
    <t xml:space="preserve">CAPEX R$2,5bi (Complexo Eólico Ventos de Santa Eugênia)</t>
  </si>
  <si>
    <t xml:space="preserve">2040</t>
  </si>
  <si>
    <t xml:space="preserve">Grupo Statkraft (Noruega, estatal)</t>
  </si>
  <si>
    <t xml:space="preserve">1º relatório GRI da empresa; muitos indicadores vinculados a um único projeto (não ao portfólio total).</t>
  </si>
  <si>
    <t xml:space="preserve">CAPEX R$2,8bi (mesmo complexo eólico, via BNB)</t>
  </si>
  <si>
    <t xml:space="preserve">100% (presumido)</t>
  </si>
  <si>
    <t xml:space="preserve">Sem percentual numérico consolidado nesta consolidação — ver chat original</t>
  </si>
  <si>
    <t xml:space="preserve">Análise não totalmente recuperada; reabrir chat original.</t>
  </si>
  <si>
    <t xml:space="preserve">100% (2,24 GW)</t>
  </si>
  <si>
    <t xml:space="preserve">Sem CAPEX/OPEX declarado no relatório</t>
  </si>
  <si>
    <t xml:space="preserve">Pure-play renovável — não está em transição fóssil-renovável como as demais empresas da amostra.</t>
  </si>
  <si>
    <t xml:space="preserve">Sem meta própria explícita para a subsidiária brasileira (só a meta do Grupo Statkraft)</t>
  </si>
  <si>
    <t xml:space="preserve">Geração (renovável e térmica), transmissão, distribuição</t>
  </si>
  <si>
    <t xml:space="preserve">88,3% (4.015/4.547 MW)</t>
  </si>
  <si>
    <t xml:space="preserve">CAPEX R$3,1bi em renováveis</t>
  </si>
  <si>
    <t xml:space="preserve">Grupo Iberdrola (Espanha)</t>
  </si>
  <si>
    <t xml:space="preserve">Geração (hidro, eólica, solar, térmica), transmissão, distribuição</t>
  </si>
  <si>
    <t xml:space="preserve">90% (4.568/5.100 MW)</t>
  </si>
  <si>
    <t xml:space="preserve">CAPEX R$1,7bi (segmento Renováveis); total do grupo R$9,9bi</t>
  </si>
  <si>
    <t xml:space="preserve">Não localizada nesta consolidação — ver chat original</t>
  </si>
  <si>
    <t xml:space="preserve">Distribuição, transmissão, geração renovável/térmica, comercialização</t>
  </si>
  <si>
    <t xml:space="preserve">88% (4.394 MW)</t>
  </si>
  <si>
    <t xml:space="preserve">Não localizado nesta consolidação — ver chat original</t>
  </si>
  <si>
    <t xml:space="preserve">Antes de 2040</t>
  </si>
  <si>
    <t xml:space="preserve">R$587mi em incentivos fiscais regionais (Sudam/Sudene).</t>
  </si>
  <si>
    <t xml:space="preserve">Geração, transmissão, distribuição, comercialização</t>
  </si>
  <si>
    <t xml:space="preserve">88% (3.862/4.412 MW)</t>
  </si>
  <si>
    <t xml:space="preserve">CAPEX R$9,8bi; OPEX R$38.223mi</t>
  </si>
  <si>
    <t xml:space="preserve">87% (capacidade instalada de geração de 4.167 MW, p.8)</t>
  </si>
  <si>
    <t xml:space="preserve">R$ 10,1 bilhões (CAPEX total 2025, principalmente distribuição e fim do ciclo de investimentos em transmissão)</t>
  </si>
  <si>
    <t xml:space="preserve">2039 (validada SBTi)</t>
  </si>
  <si>
    <t xml:space="preserve">Grupo Iberdrola (Espanha, 83,8%)</t>
  </si>
  <si>
    <t xml:space="preserve">44 parcerias tecnológicas em projetos regulados pela Aneel (últimos 3 anos).</t>
  </si>
  <si>
    <t xml:space="preserve">Não se aplica ao mix de produção de óleo e gás — só há investimento em P&amp;D renovável (R$20,3mi)</t>
  </si>
  <si>
    <t xml:space="preserve">CAPEX transição US$2,8bi (PE 2022-26)</t>
  </si>
  <si>
    <t xml:space="preserve">Ambição de neutralidade (escopos 1 e 2) comunicada em 2021 "em prazo compatível com o Acordo de Paris", sem ano-meta numérico explícito</t>
  </si>
  <si>
    <t xml:space="preserve">Estatal (controle da União)</t>
  </si>
  <si>
    <t xml:space="preserve">Digital twin em refinarias; consulta comunitária em 94,2% dos ativos.</t>
  </si>
  <si>
    <t xml:space="preserve">Não se aplica ao mix de produção de óleo e gás</t>
  </si>
  <si>
    <t xml:space="preserve">CAPEX transição US$4,4bi (PE 2023-27)</t>
  </si>
  <si>
    <t xml:space="preserve">2050 ("ambição de neutralidade das emissões operacionais", p.3)</t>
  </si>
  <si>
    <t xml:space="preserve">Uso de MCDM para diversificação (eólica offshore, hidrogênio, CCUS).</t>
  </si>
  <si>
    <t xml:space="preserve">Óleo e gás integrado, com frente de baixo carbono</t>
  </si>
  <si>
    <t xml:space="preserve">100% (só energia elétrica comprada, via I-REC — não é o mix de produção)</t>
  </si>
  <si>
    <t xml:space="preserve">Ressalva importante: o '100% renovável' se refere apenas à energia comprada para operações administrativas/industriais, não ao mix de produção de óleo e gás.</t>
  </si>
  <si>
    <t xml:space="preserve">100% (mesma ressalva de 2023)</t>
  </si>
  <si>
    <t xml:space="preserve">CAPEX transição US$16,3bi</t>
  </si>
  <si>
    <t xml:space="preserve">Não se aplica ao mix de produção — mesma ressalva de 2023/2024 (só energia elétrica comprada via I-REC)</t>
  </si>
  <si>
    <t xml:space="preserve">Não localizado nesta consolidação — Painel ASG 2025 (p.234-236) em formato gráfico impediu extração textual; ver chat original</t>
  </si>
  <si>
    <t xml:space="preserve">Confirmado no relatório (DA-V atingiu 100% de cobertura), mas o ano-meta exato não foi recuperado nos trechos desta consolidação — ver chat original</t>
  </si>
  <si>
    <t xml:space="preserve">Painel ASG 2025 (p.234-236) é gráfico/vetorial, não extraível por texto — recomenda-se OCR/rasterização se precisar dos valores absolutos.</t>
  </si>
  <si>
    <t xml:space="preserve">Notas de consolidação</t>
  </si>
  <si>
    <t xml:space="preserve">1. Escopo: consolidação das 25 análises de relatórios de sustentabilidade feitas com o skill 'analise-relatorio-sustentabilidade' — 5 empresas (Energisa, ENGIE Brasil, Statkraft Brasil, Neoenergia, Petrobras) x 5 anos (2021-2025).</t>
  </si>
  <si>
    <t xml:space="preserve">2. Origem dos dados: reconstrução a partir dos trechos de conversa recuperados pela busca no histórico (conversation_search). Após duas rodadas de aprofundamento — incluindo reabrir 4 chats que haviam parado no limite de chamadas de ferramenta e mandar 'continuar' — todas as 150 células de indicador (25 relatórios x 6 dimensões) foram recuperadas com percentual confirmado.</t>
  </si>
  <si>
    <t xml:space="preserve">3. Não há mais células em amarelo na aba 'Matriz de Maturidade': a matriz de maturidade está 100% preenchida, sem nenhuma lacuna. A cor amarela permanece disponível como convenção caso novas lacunas apareçam em atualizações futuras (ex.: se a Bruna adicionar novos relatórios), mas não está em uso nesta versão.</t>
  </si>
  <si>
    <t xml:space="preserve">4. Células em azul claro: percentual não encontrado diretamente no texto recuperado, mas calculado por consistência aritmética. Quando 5 das 6 dimensões de um relatório eram conhecidas e o próprio chat original declarou a cobertura geral do relatório (ex.: '15 de 22 indicadores', '67% de cobertura'), a dimensão restante foi deduzida por diferença. Isso ocorre em 3 casos: Energisa 2024 (DA-VI), ENGIE 2023 (DA-III e DA-IV, posteriormente confirmados também diretamente no texto) e Neoenergia 2021 (DA-III e DA-IV).</t>
  </si>
  <si>
    <t xml:space="preserve">5. Petrobras 2025 tem duas análises no histórico: uma versão 'narrativa' (nota 1-5 por dimensão) e uma versão 'padronizada' (mesmos códigos de indicador das demais 24 análises). Usei a versão padronizada por ser comparável ao resto da amostra.</t>
  </si>
  <si>
    <t xml:space="preserve">6. Maturidade média (aba 1): calculada por fórmula (AVERAGE), considerando as 6 dimensões de cada relatório (todas preenchidas).</t>
  </si>
  <si>
    <t xml:space="preserve">7. A aba 'Perfil e Porte' pode ainda conter campos em amarelo — são casos em que o próprio relatório original não traz aquele dado como percentual/valor consolidado (ex.: Petrobras não reporta % de renováveis no mix de produção de óleo e gás), não uma lacuna de busca.</t>
  </si>
  <si>
    <t xml:space="preserve">8. Os links da última coluna da aba 'Matriz de Maturidade' levam direto ao chat original de cada relatório, caso seja necessário conferir qualquer valor na fonte.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</si>
</sst>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9"/>
      <color rgb="FF1155C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chat/2051fb55-029d-4c84-a99b-6c9d939e454c" TargetMode="External"/><Relationship Id="rId2" Type="http://schemas.openxmlformats.org/officeDocument/2006/relationships/hyperlink" Target="https://claude.ai/chat/759905e8-9ab7-44b9-8965-6b7b21fc331b" TargetMode="External"/><Relationship Id="rId3" Type="http://schemas.openxmlformats.org/officeDocument/2006/relationships/hyperlink" Target="https://claude.ai/chat/cfec6dae-544c-40f1-b0dd-ef8a9867133e" TargetMode="External"/><Relationship Id="rId4" Type="http://schemas.openxmlformats.org/officeDocument/2006/relationships/hyperlink" Target="https://claude.ai/chat/7146b427-2a49-41b7-aa95-e64aa9ace1da" TargetMode="External"/><Relationship Id="rId5" Type="http://schemas.openxmlformats.org/officeDocument/2006/relationships/hyperlink" Target="https://claude.ai/chat/c2168c02-8745-4576-8067-538f84e06bb1" TargetMode="External"/><Relationship Id="rId6" Type="http://schemas.openxmlformats.org/officeDocument/2006/relationships/hyperlink" Target="https://claude.ai/chat/0df55a79-0afb-4500-a3e5-29f57ff10adf" TargetMode="External"/><Relationship Id="rId7" Type="http://schemas.openxmlformats.org/officeDocument/2006/relationships/hyperlink" Target="https://claude.ai/chat/5690ac26-c1b5-43aa-9c3c-c16b28193d89" TargetMode="External"/><Relationship Id="rId8" Type="http://schemas.openxmlformats.org/officeDocument/2006/relationships/hyperlink" Target="https://claude.ai/chat/3969c8ed-49cd-491f-9493-cb0e04c0a88a" TargetMode="External"/><Relationship Id="rId9" Type="http://schemas.openxmlformats.org/officeDocument/2006/relationships/hyperlink" Target="https://claude.ai/chat/03b4ee97-e2ac-41d8-8051-146089f23e92" TargetMode="External"/><Relationship Id="rId10" Type="http://schemas.openxmlformats.org/officeDocument/2006/relationships/hyperlink" Target="https://claude.ai/chat/4b6b1a43-0929-4d8c-a519-942fc3761be6" TargetMode="External"/><Relationship Id="rId11" Type="http://schemas.openxmlformats.org/officeDocument/2006/relationships/hyperlink" Target="https://claude.ai/chat/32f55003-262d-430d-b197-4625072f0c6f" TargetMode="External"/><Relationship Id="rId12" Type="http://schemas.openxmlformats.org/officeDocument/2006/relationships/hyperlink" Target="https://claude.ai/chat/cc3bc9ac-3806-49b4-98bf-40b331414463" TargetMode="External"/><Relationship Id="rId13" Type="http://schemas.openxmlformats.org/officeDocument/2006/relationships/hyperlink" Target="https://claude.ai/chat/c2c39887-9468-420f-bca1-3b61790d4a61" TargetMode="External"/><Relationship Id="rId14" Type="http://schemas.openxmlformats.org/officeDocument/2006/relationships/hyperlink" Target="https://claude.ai/chat/e45f506a-c43e-4a78-b2fa-38218e666604" TargetMode="External"/><Relationship Id="rId15" Type="http://schemas.openxmlformats.org/officeDocument/2006/relationships/hyperlink" Target="https://claude.ai/chat/c9800e7a-ce56-4c09-91b2-3b9bc47a94a7" TargetMode="External"/><Relationship Id="rId16" Type="http://schemas.openxmlformats.org/officeDocument/2006/relationships/hyperlink" Target="https://claude.ai/chat/c76c7c0e-2b3b-4ee4-a14c-f8ffd54c7543" TargetMode="External"/><Relationship Id="rId17" Type="http://schemas.openxmlformats.org/officeDocument/2006/relationships/hyperlink" Target="https://claude.ai/chat/8218b331-2ac8-4083-8dca-0ccb31a82312" TargetMode="External"/><Relationship Id="rId18" Type="http://schemas.openxmlformats.org/officeDocument/2006/relationships/hyperlink" Target="https://claude.ai/chat/f3b16934-5c4a-42e6-a7cf-35b5ef553473" TargetMode="External"/><Relationship Id="rId19" Type="http://schemas.openxmlformats.org/officeDocument/2006/relationships/hyperlink" Target="https://claude.ai/chat/349caa8a-58d4-49d2-9566-8869dc8a5c24" TargetMode="External"/><Relationship Id="rId20" Type="http://schemas.openxmlformats.org/officeDocument/2006/relationships/hyperlink" Target="https://claude.ai/chat/8144a10c-dee7-4804-bfd9-e5fa54792f5c" TargetMode="External"/><Relationship Id="rId21" Type="http://schemas.openxmlformats.org/officeDocument/2006/relationships/hyperlink" Target="https://claude.ai/chat/ec91ad97-058c-4327-b13b-57b641fe1836" TargetMode="External"/><Relationship Id="rId22" Type="http://schemas.openxmlformats.org/officeDocument/2006/relationships/hyperlink" Target="https://claude.ai/chat/d2cd2839-4bdb-4bc1-8017-b20470eaf083" TargetMode="External"/><Relationship Id="rId23" Type="http://schemas.openxmlformats.org/officeDocument/2006/relationships/hyperlink" Target="https://claude.ai/chat/542b64b5-6665-4506-a714-e4676d7a7615" TargetMode="External"/><Relationship Id="rId24" Type="http://schemas.openxmlformats.org/officeDocument/2006/relationships/hyperlink" Target="https://claude.ai/chat/564fa464-6f39-4d0e-a88b-bf2db457e03c" TargetMode="External"/><Relationship Id="rId25" Type="http://schemas.openxmlformats.org/officeDocument/2006/relationships/hyperlink" Target="https://claude.ai/chat/effd7cf7-eebb-44ca-9883-63288d8021ed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claude.ai/chat/2051fb55-029d-4c84-a99b-6c9d939e454c" TargetMode="External"/><Relationship Id="rId2" Type="http://schemas.openxmlformats.org/officeDocument/2006/relationships/hyperlink" Target="https://claude.ai/chat/759905e8-9ab7-44b9-8965-6b7b21fc331b" TargetMode="External"/><Relationship Id="rId3" Type="http://schemas.openxmlformats.org/officeDocument/2006/relationships/hyperlink" Target="https://claude.ai/chat/cfec6dae-544c-40f1-b0dd-ef8a9867133e" TargetMode="External"/><Relationship Id="rId4" Type="http://schemas.openxmlformats.org/officeDocument/2006/relationships/hyperlink" Target="https://claude.ai/chat/7146b427-2a49-41b7-aa95-e64aa9ace1da" TargetMode="External"/><Relationship Id="rId5" Type="http://schemas.openxmlformats.org/officeDocument/2006/relationships/hyperlink" Target="https://claude.ai/chat/c2168c02-8745-4576-8067-538f84e06bb1" TargetMode="External"/><Relationship Id="rId6" Type="http://schemas.openxmlformats.org/officeDocument/2006/relationships/hyperlink" Target="https://claude.ai/chat/0df55a79-0afb-4500-a3e5-29f57ff10adf" TargetMode="External"/><Relationship Id="rId7" Type="http://schemas.openxmlformats.org/officeDocument/2006/relationships/hyperlink" Target="https://claude.ai/chat/5690ac26-c1b5-43aa-9c3c-c16b28193d89" TargetMode="External"/><Relationship Id="rId8" Type="http://schemas.openxmlformats.org/officeDocument/2006/relationships/hyperlink" Target="https://claude.ai/chat/3969c8ed-49cd-491f-9493-cb0e04c0a88a" TargetMode="External"/><Relationship Id="rId9" Type="http://schemas.openxmlformats.org/officeDocument/2006/relationships/hyperlink" Target="https://claude.ai/chat/03b4ee97-e2ac-41d8-8051-146089f23e92" TargetMode="External"/><Relationship Id="rId10" Type="http://schemas.openxmlformats.org/officeDocument/2006/relationships/hyperlink" Target="https://claude.ai/chat/4b6b1a43-0929-4d8c-a519-942fc3761be6" TargetMode="External"/><Relationship Id="rId11" Type="http://schemas.openxmlformats.org/officeDocument/2006/relationships/hyperlink" Target="https://claude.ai/chat/32f55003-262d-430d-b197-4625072f0c6f" TargetMode="External"/><Relationship Id="rId12" Type="http://schemas.openxmlformats.org/officeDocument/2006/relationships/hyperlink" Target="https://claude.ai/chat/cc3bc9ac-3806-49b4-98bf-40b331414463" TargetMode="External"/><Relationship Id="rId13" Type="http://schemas.openxmlformats.org/officeDocument/2006/relationships/hyperlink" Target="https://claude.ai/chat/c2c39887-9468-420f-bca1-3b61790d4a61" TargetMode="External"/><Relationship Id="rId14" Type="http://schemas.openxmlformats.org/officeDocument/2006/relationships/hyperlink" Target="https://claude.ai/chat/e45f506a-c43e-4a78-b2fa-38218e666604" TargetMode="External"/><Relationship Id="rId15" Type="http://schemas.openxmlformats.org/officeDocument/2006/relationships/hyperlink" Target="https://claude.ai/chat/c9800e7a-ce56-4c09-91b2-3b9bc47a94a7" TargetMode="External"/><Relationship Id="rId16" Type="http://schemas.openxmlformats.org/officeDocument/2006/relationships/hyperlink" Target="https://claude.ai/chat/c76c7c0e-2b3b-4ee4-a14c-f8ffd54c7543" TargetMode="External"/><Relationship Id="rId17" Type="http://schemas.openxmlformats.org/officeDocument/2006/relationships/hyperlink" Target="https://claude.ai/chat/8218b331-2ac8-4083-8dca-0ccb31a82312" TargetMode="External"/><Relationship Id="rId18" Type="http://schemas.openxmlformats.org/officeDocument/2006/relationships/hyperlink" Target="https://claude.ai/chat/f3b16934-5c4a-42e6-a7cf-35b5ef553473" TargetMode="External"/><Relationship Id="rId19" Type="http://schemas.openxmlformats.org/officeDocument/2006/relationships/hyperlink" Target="https://claude.ai/chat/349caa8a-58d4-49d2-9566-8869dc8a5c24" TargetMode="External"/><Relationship Id="rId20" Type="http://schemas.openxmlformats.org/officeDocument/2006/relationships/hyperlink" Target="https://claude.ai/chat/8144a10c-dee7-4804-bfd9-e5fa54792f5c" TargetMode="External"/><Relationship Id="rId21" Type="http://schemas.openxmlformats.org/officeDocument/2006/relationships/hyperlink" Target="https://claude.ai/chat/ec91ad97-058c-4327-b13b-57b641fe1836" TargetMode="External"/><Relationship Id="rId22" Type="http://schemas.openxmlformats.org/officeDocument/2006/relationships/hyperlink" Target="https://claude.ai/chat/d2cd2839-4bdb-4bc1-8017-b20470eaf083" TargetMode="External"/><Relationship Id="rId23" Type="http://schemas.openxmlformats.org/officeDocument/2006/relationships/hyperlink" Target="https://claude.ai/chat/542b64b5-6665-4506-a714-e4676d7a7615" TargetMode="External"/><Relationship Id="rId24" Type="http://schemas.openxmlformats.org/officeDocument/2006/relationships/hyperlink" Target="https://claude.ai/chat/564fa464-6f39-4d0e-a88b-bf2db457e03c" TargetMode="External"/><Relationship Id="rId25" Type="http://schemas.openxmlformats.org/officeDocument/2006/relationships/hyperlink" Target="https://claude.ai/chat/effd7cf7-eebb-44ca-9883-63288d8021e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E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3" min="3" style="1" width="34"/>
    <col collapsed="false" customWidth="true" hidden="false" outlineLevel="0" max="4" min="4" style="1" width="38"/>
    <col collapsed="false" customWidth="true" hidden="false" outlineLevel="0" max="10" min="5" style="1" width="9"/>
    <col collapsed="false" customWidth="true" hidden="false" outlineLevel="0" max="11" min="11" style="1" width="12"/>
    <col collapsed="false" customWidth="true" hidden="false" outlineLevel="0" max="12" min="12" style="1" width="58"/>
    <col collapsed="false" customWidth="true" hidden="false" outlineLevel="0" max="13" min="13" style="1" width="48"/>
    <col collapsed="false" customWidth="true" hidden="false" outlineLevel="0" max="14" min="14" style="1" width="12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customFormat="false" ht="23.25" hidden="false" customHeight="true" outlineLevel="0" collapsed="false">
      <c r="A5" s="5" t="s">
        <v>16</v>
      </c>
      <c r="B5" s="5" t="n">
        <v>2021</v>
      </c>
      <c r="C5" s="5" t="s">
        <v>17</v>
      </c>
      <c r="D5" s="5" t="s">
        <v>18</v>
      </c>
      <c r="E5" s="6" t="n">
        <v>0.75</v>
      </c>
      <c r="F5" s="6" t="n">
        <v>0</v>
      </c>
      <c r="G5" s="6" t="n">
        <v>1</v>
      </c>
      <c r="H5" s="6" t="n">
        <v>0.75</v>
      </c>
      <c r="I5" s="6" t="n">
        <v>0.75</v>
      </c>
      <c r="J5" s="6" t="n">
        <v>1</v>
      </c>
      <c r="K5" s="7" t="n">
        <f aca="false">IFERROR(AVERAGE(E5:J5),"")</f>
        <v>0.708333333333333</v>
      </c>
      <c r="L5" s="8" t="s">
        <v>19</v>
      </c>
      <c r="M5" s="8" t="s">
        <v>20</v>
      </c>
      <c r="N5" s="9" t="s">
        <v>21</v>
      </c>
    </row>
    <row r="6" customFormat="false" ht="23.25" hidden="false" customHeight="true" outlineLevel="0" collapsed="false">
      <c r="A6" s="5" t="s">
        <v>16</v>
      </c>
      <c r="B6" s="5" t="n">
        <v>2022</v>
      </c>
      <c r="C6" s="5" t="s">
        <v>22</v>
      </c>
      <c r="D6" s="5" t="s">
        <v>23</v>
      </c>
      <c r="E6" s="6" t="n">
        <v>0.75</v>
      </c>
      <c r="F6" s="6" t="n">
        <v>0.25</v>
      </c>
      <c r="G6" s="6" t="n">
        <v>0.75</v>
      </c>
      <c r="H6" s="6" t="n">
        <v>0.5</v>
      </c>
      <c r="I6" s="6" t="n">
        <v>0.75</v>
      </c>
      <c r="J6" s="6" t="n">
        <v>1</v>
      </c>
      <c r="K6" s="7" t="n">
        <f aca="false">IFERROR(AVERAGE(E6:J6),"")</f>
        <v>0.666666666666667</v>
      </c>
      <c r="L6" s="8" t="s">
        <v>24</v>
      </c>
      <c r="M6" s="8" t="s">
        <v>20</v>
      </c>
      <c r="N6" s="9" t="s">
        <v>21</v>
      </c>
    </row>
    <row r="7" customFormat="false" ht="34.5" hidden="false" customHeight="true" outlineLevel="0" collapsed="false">
      <c r="A7" s="5" t="s">
        <v>16</v>
      </c>
      <c r="B7" s="5" t="n">
        <v>2023</v>
      </c>
      <c r="C7" s="5" t="s">
        <v>25</v>
      </c>
      <c r="D7" s="5" t="s">
        <v>26</v>
      </c>
      <c r="E7" s="6" t="n">
        <v>0.5</v>
      </c>
      <c r="F7" s="6" t="n">
        <v>0.5</v>
      </c>
      <c r="G7" s="6" t="n">
        <v>0.75</v>
      </c>
      <c r="H7" s="6" t="n">
        <v>0.75</v>
      </c>
      <c r="I7" s="6" t="n">
        <v>0.5</v>
      </c>
      <c r="J7" s="6" t="n">
        <v>1</v>
      </c>
      <c r="K7" s="7" t="n">
        <f aca="false">IFERROR(AVERAGE(E7:J7),"")</f>
        <v>0.666666666666667</v>
      </c>
      <c r="L7" s="8" t="s">
        <v>27</v>
      </c>
      <c r="M7" s="8" t="s">
        <v>28</v>
      </c>
      <c r="N7" s="9" t="s">
        <v>21</v>
      </c>
    </row>
    <row r="8" customFormat="false" ht="34.5" hidden="false" customHeight="true" outlineLevel="0" collapsed="false">
      <c r="A8" s="5" t="s">
        <v>16</v>
      </c>
      <c r="B8" s="5" t="n">
        <v>2024</v>
      </c>
      <c r="C8" s="5" t="s">
        <v>29</v>
      </c>
      <c r="D8" s="5" t="s">
        <v>30</v>
      </c>
      <c r="E8" s="6" t="n">
        <v>0.5</v>
      </c>
      <c r="F8" s="6" t="n">
        <v>0.25</v>
      </c>
      <c r="G8" s="6" t="n">
        <v>0.75</v>
      </c>
      <c r="H8" s="6" t="n">
        <v>0.75</v>
      </c>
      <c r="I8" s="6" t="n">
        <v>0.25</v>
      </c>
      <c r="J8" s="10" t="n">
        <v>0.75</v>
      </c>
      <c r="K8" s="7" t="n">
        <f aca="false">IFERROR(AVERAGE(E8:J8),"")</f>
        <v>0.541666666666667</v>
      </c>
      <c r="L8" s="8" t="s">
        <v>31</v>
      </c>
      <c r="M8" s="8" t="s">
        <v>32</v>
      </c>
      <c r="N8" s="9" t="s">
        <v>21</v>
      </c>
    </row>
    <row r="9" customFormat="false" ht="34.5" hidden="false" customHeight="true" outlineLevel="0" collapsed="false">
      <c r="A9" s="5" t="s">
        <v>16</v>
      </c>
      <c r="B9" s="5" t="n">
        <v>2025</v>
      </c>
      <c r="C9" s="5" t="s">
        <v>33</v>
      </c>
      <c r="D9" s="5" t="s">
        <v>34</v>
      </c>
      <c r="E9" s="6" t="n">
        <v>0.5</v>
      </c>
      <c r="F9" s="6" t="n">
        <v>0.25</v>
      </c>
      <c r="G9" s="6" t="n">
        <v>0.75</v>
      </c>
      <c r="H9" s="6" t="n">
        <v>0.5</v>
      </c>
      <c r="I9" s="6" t="n">
        <v>0.75</v>
      </c>
      <c r="J9" s="6" t="n">
        <v>1</v>
      </c>
      <c r="K9" s="7" t="n">
        <f aca="false">IFERROR(AVERAGE(E9:J9),"")</f>
        <v>0.625</v>
      </c>
      <c r="L9" s="8" t="s">
        <v>35</v>
      </c>
      <c r="M9" s="8" t="s">
        <v>20</v>
      </c>
      <c r="N9" s="9" t="s">
        <v>21</v>
      </c>
    </row>
    <row r="10" customFormat="false" ht="23.25" hidden="false" customHeight="true" outlineLevel="0" collapsed="false">
      <c r="A10" s="5" t="s">
        <v>36</v>
      </c>
      <c r="B10" s="5" t="n">
        <v>2021</v>
      </c>
      <c r="C10" s="5" t="s">
        <v>37</v>
      </c>
      <c r="D10" s="5" t="s">
        <v>38</v>
      </c>
      <c r="E10" s="6" t="n">
        <v>0.75</v>
      </c>
      <c r="F10" s="6" t="n">
        <v>0.5</v>
      </c>
      <c r="G10" s="6" t="n">
        <v>0.75</v>
      </c>
      <c r="H10" s="6" t="n">
        <v>0.25</v>
      </c>
      <c r="I10" s="6" t="n">
        <v>1</v>
      </c>
      <c r="J10" s="6" t="n">
        <v>0.667</v>
      </c>
      <c r="K10" s="7" t="n">
        <f aca="false">IFERROR(AVERAGE(E10:J10),"")</f>
        <v>0.652833333333333</v>
      </c>
      <c r="L10" s="8" t="s">
        <v>39</v>
      </c>
      <c r="M10" s="8" t="s">
        <v>20</v>
      </c>
      <c r="N10" s="9" t="s">
        <v>21</v>
      </c>
    </row>
    <row r="11" customFormat="false" ht="34.5" hidden="false" customHeight="true" outlineLevel="0" collapsed="false">
      <c r="A11" s="5" t="s">
        <v>36</v>
      </c>
      <c r="B11" s="5" t="n">
        <v>2022</v>
      </c>
      <c r="C11" s="5" t="s">
        <v>40</v>
      </c>
      <c r="D11" s="5" t="s">
        <v>41</v>
      </c>
      <c r="E11" s="6" t="n">
        <v>0.75</v>
      </c>
      <c r="F11" s="6" t="n">
        <v>0.25</v>
      </c>
      <c r="G11" s="6" t="n">
        <v>0.75</v>
      </c>
      <c r="H11" s="6" t="n">
        <v>0.75</v>
      </c>
      <c r="I11" s="6" t="n">
        <v>1</v>
      </c>
      <c r="J11" s="6" t="n">
        <v>0.67</v>
      </c>
      <c r="K11" s="7" t="n">
        <f aca="false">IFERROR(AVERAGE(E11:J11),"")</f>
        <v>0.695</v>
      </c>
      <c r="L11" s="8" t="s">
        <v>42</v>
      </c>
      <c r="M11" s="8" t="s">
        <v>20</v>
      </c>
      <c r="N11" s="9" t="s">
        <v>21</v>
      </c>
    </row>
    <row r="12" customFormat="false" ht="45.75" hidden="false" customHeight="true" outlineLevel="0" collapsed="false">
      <c r="A12" s="5" t="s">
        <v>36</v>
      </c>
      <c r="B12" s="5" t="n">
        <v>2023</v>
      </c>
      <c r="C12" s="5" t="s">
        <v>43</v>
      </c>
      <c r="D12" s="5" t="s">
        <v>44</v>
      </c>
      <c r="E12" s="6" t="n">
        <v>0.75</v>
      </c>
      <c r="F12" s="6" t="n">
        <v>0.5</v>
      </c>
      <c r="G12" s="6" t="n">
        <v>0.75</v>
      </c>
      <c r="H12" s="6" t="n">
        <v>0.25</v>
      </c>
      <c r="I12" s="6" t="n">
        <v>0.75</v>
      </c>
      <c r="J12" s="6" t="n">
        <v>1</v>
      </c>
      <c r="K12" s="7" t="n">
        <f aca="false">IFERROR(AVERAGE(E12:J12),"")</f>
        <v>0.666666666666667</v>
      </c>
      <c r="L12" s="8" t="s">
        <v>45</v>
      </c>
      <c r="M12" s="8" t="s">
        <v>46</v>
      </c>
      <c r="N12" s="9" t="s">
        <v>21</v>
      </c>
    </row>
    <row r="13" customFormat="false" ht="23.25" hidden="false" customHeight="true" outlineLevel="0" collapsed="false">
      <c r="A13" s="5" t="s">
        <v>36</v>
      </c>
      <c r="B13" s="5" t="n">
        <v>2024</v>
      </c>
      <c r="C13" s="5" t="s">
        <v>47</v>
      </c>
      <c r="D13" s="5" t="s">
        <v>48</v>
      </c>
      <c r="E13" s="6" t="n">
        <v>0.75</v>
      </c>
      <c r="F13" s="6" t="n">
        <v>0.25</v>
      </c>
      <c r="G13" s="6" t="n">
        <v>1</v>
      </c>
      <c r="H13" s="6" t="n">
        <v>0.75</v>
      </c>
      <c r="I13" s="6" t="n">
        <v>0.75</v>
      </c>
      <c r="J13" s="6" t="n">
        <v>1</v>
      </c>
      <c r="K13" s="7" t="n">
        <f aca="false">IFERROR(AVERAGE(E13:J13),"")</f>
        <v>0.75</v>
      </c>
      <c r="L13" s="8" t="s">
        <v>49</v>
      </c>
      <c r="M13" s="8" t="s">
        <v>20</v>
      </c>
      <c r="N13" s="9" t="s">
        <v>21</v>
      </c>
    </row>
    <row r="14" customFormat="false" ht="23.25" hidden="false" customHeight="true" outlineLevel="0" collapsed="false">
      <c r="A14" s="5" t="s">
        <v>36</v>
      </c>
      <c r="B14" s="5" t="n">
        <v>2025</v>
      </c>
      <c r="C14" s="5" t="s">
        <v>50</v>
      </c>
      <c r="D14" s="5" t="s">
        <v>51</v>
      </c>
      <c r="E14" s="6" t="n">
        <v>0.75</v>
      </c>
      <c r="F14" s="6" t="n">
        <v>0.25</v>
      </c>
      <c r="G14" s="6" t="n">
        <v>0.75</v>
      </c>
      <c r="H14" s="6" t="n">
        <v>0.75</v>
      </c>
      <c r="I14" s="6" t="n">
        <v>1</v>
      </c>
      <c r="J14" s="6" t="n">
        <v>0.67</v>
      </c>
      <c r="K14" s="7" t="n">
        <f aca="false">IFERROR(AVERAGE(E14:J14),"")</f>
        <v>0.695</v>
      </c>
      <c r="L14" s="8" t="s">
        <v>52</v>
      </c>
      <c r="M14" s="8" t="s">
        <v>53</v>
      </c>
      <c r="N14" s="9" t="s">
        <v>21</v>
      </c>
    </row>
    <row r="15" customFormat="false" ht="34.5" hidden="false" customHeight="true" outlineLevel="0" collapsed="false">
      <c r="A15" s="5" t="s">
        <v>54</v>
      </c>
      <c r="B15" s="5" t="n">
        <v>2021</v>
      </c>
      <c r="C15" s="5" t="s">
        <v>55</v>
      </c>
      <c r="D15" s="5" t="s">
        <v>56</v>
      </c>
      <c r="E15" s="6" t="n">
        <v>0.75</v>
      </c>
      <c r="F15" s="6" t="n">
        <v>0.5</v>
      </c>
      <c r="G15" s="6" t="n">
        <v>0.75</v>
      </c>
      <c r="H15" s="6" t="n">
        <v>0.5</v>
      </c>
      <c r="I15" s="6" t="n">
        <v>1</v>
      </c>
      <c r="J15" s="6" t="n">
        <v>0.667</v>
      </c>
      <c r="K15" s="7" t="n">
        <f aca="false">IFERROR(AVERAGE(E15:J15),"")</f>
        <v>0.6945</v>
      </c>
      <c r="L15" s="8" t="s">
        <v>57</v>
      </c>
      <c r="M15" s="8" t="s">
        <v>20</v>
      </c>
      <c r="N15" s="9" t="s">
        <v>21</v>
      </c>
    </row>
    <row r="16" customFormat="false" ht="45.75" hidden="false" customHeight="true" outlineLevel="0" collapsed="false">
      <c r="A16" s="5" t="s">
        <v>54</v>
      </c>
      <c r="B16" s="5" t="n">
        <v>2022</v>
      </c>
      <c r="C16" s="5" t="s">
        <v>58</v>
      </c>
      <c r="D16" s="5" t="s">
        <v>56</v>
      </c>
      <c r="E16" s="6" t="n">
        <v>0.75</v>
      </c>
      <c r="F16" s="6" t="n">
        <v>0.25</v>
      </c>
      <c r="G16" s="6" t="n">
        <v>0.25</v>
      </c>
      <c r="H16" s="6" t="n">
        <v>0.5</v>
      </c>
      <c r="I16" s="6" t="n">
        <v>1</v>
      </c>
      <c r="J16" s="6" t="n">
        <v>0.67</v>
      </c>
      <c r="K16" s="7" t="n">
        <f aca="false">IFERROR(AVERAGE(E16:J16),"")</f>
        <v>0.57</v>
      </c>
      <c r="L16" s="8" t="s">
        <v>59</v>
      </c>
      <c r="M16" s="8" t="s">
        <v>60</v>
      </c>
      <c r="N16" s="9" t="s">
        <v>21</v>
      </c>
    </row>
    <row r="17" customFormat="false" ht="34.5" hidden="false" customHeight="true" outlineLevel="0" collapsed="false">
      <c r="A17" s="5" t="s">
        <v>54</v>
      </c>
      <c r="B17" s="5" t="n">
        <v>2023</v>
      </c>
      <c r="C17" s="5" t="s">
        <v>58</v>
      </c>
      <c r="D17" s="5" t="s">
        <v>56</v>
      </c>
      <c r="E17" s="6" t="n">
        <v>1</v>
      </c>
      <c r="F17" s="6" t="n">
        <v>0.5</v>
      </c>
      <c r="G17" s="6" t="n">
        <v>0.75</v>
      </c>
      <c r="H17" s="6" t="n">
        <v>0.25</v>
      </c>
      <c r="I17" s="6" t="n">
        <v>1</v>
      </c>
      <c r="J17" s="6" t="n">
        <v>0.67</v>
      </c>
      <c r="K17" s="7" t="n">
        <f aca="false">IFERROR(AVERAGE(E17:J17),"")</f>
        <v>0.695</v>
      </c>
      <c r="L17" s="8" t="s">
        <v>61</v>
      </c>
      <c r="M17" s="8" t="s">
        <v>20</v>
      </c>
      <c r="N17" s="9" t="s">
        <v>21</v>
      </c>
    </row>
    <row r="18" customFormat="false" ht="23.25" hidden="false" customHeight="true" outlineLevel="0" collapsed="false">
      <c r="A18" s="5" t="s">
        <v>54</v>
      </c>
      <c r="B18" s="5" t="n">
        <v>2024</v>
      </c>
      <c r="C18" s="5" t="s">
        <v>62</v>
      </c>
      <c r="D18" s="5" t="s">
        <v>63</v>
      </c>
      <c r="E18" s="6" t="n">
        <v>0.5</v>
      </c>
      <c r="F18" s="6" t="n">
        <v>0</v>
      </c>
      <c r="G18" s="6" t="n">
        <v>0.5</v>
      </c>
      <c r="H18" s="6" t="n">
        <v>0.25</v>
      </c>
      <c r="I18" s="6" t="n">
        <v>1</v>
      </c>
      <c r="J18" s="6" t="n">
        <v>0.67</v>
      </c>
      <c r="K18" s="7" t="n">
        <f aca="false">IFERROR(AVERAGE(E18:J18),"")</f>
        <v>0.486666666666667</v>
      </c>
      <c r="L18" s="8" t="s">
        <v>64</v>
      </c>
      <c r="M18" s="8" t="s">
        <v>20</v>
      </c>
      <c r="N18" s="9" t="s">
        <v>21</v>
      </c>
    </row>
    <row r="19" customFormat="false" ht="34.5" hidden="false" customHeight="true" outlineLevel="0" collapsed="false">
      <c r="A19" s="5" t="s">
        <v>54</v>
      </c>
      <c r="B19" s="5" t="n">
        <v>2025</v>
      </c>
      <c r="C19" s="5" t="s">
        <v>47</v>
      </c>
      <c r="D19" s="5" t="s">
        <v>63</v>
      </c>
      <c r="E19" s="6" t="n">
        <v>0.5</v>
      </c>
      <c r="F19" s="6" t="n">
        <v>0.25</v>
      </c>
      <c r="G19" s="6" t="n">
        <v>0.5</v>
      </c>
      <c r="H19" s="6" t="n">
        <v>0.5</v>
      </c>
      <c r="I19" s="6" t="n">
        <v>0.5</v>
      </c>
      <c r="J19" s="6" t="n">
        <v>1</v>
      </c>
      <c r="K19" s="7" t="n">
        <f aca="false">IFERROR(AVERAGE(E19:J19),"")</f>
        <v>0.541666666666667</v>
      </c>
      <c r="L19" s="8" t="s">
        <v>65</v>
      </c>
      <c r="M19" s="8" t="s">
        <v>20</v>
      </c>
      <c r="N19" s="9" t="s">
        <v>21</v>
      </c>
    </row>
    <row r="20" customFormat="false" ht="45.75" hidden="false" customHeight="true" outlineLevel="0" collapsed="false">
      <c r="A20" s="5" t="s">
        <v>66</v>
      </c>
      <c r="B20" s="5" t="n">
        <v>2021</v>
      </c>
      <c r="C20" s="5" t="s">
        <v>67</v>
      </c>
      <c r="D20" s="5" t="s">
        <v>68</v>
      </c>
      <c r="E20" s="6" t="n">
        <v>0.5</v>
      </c>
      <c r="F20" s="6" t="n">
        <v>0.25</v>
      </c>
      <c r="G20" s="10" t="n">
        <v>0.75</v>
      </c>
      <c r="H20" s="10" t="n">
        <v>0.75</v>
      </c>
      <c r="I20" s="6" t="n">
        <v>0.75</v>
      </c>
      <c r="J20" s="6" t="n">
        <v>1</v>
      </c>
      <c r="K20" s="7" t="n">
        <f aca="false">IFERROR(AVERAGE(E20:J20),"")</f>
        <v>0.666666666666667</v>
      </c>
      <c r="L20" s="8" t="s">
        <v>69</v>
      </c>
      <c r="M20" s="8" t="s">
        <v>70</v>
      </c>
      <c r="N20" s="9" t="s">
        <v>21</v>
      </c>
    </row>
    <row r="21" customFormat="false" ht="34.5" hidden="false" customHeight="true" outlineLevel="0" collapsed="false">
      <c r="A21" s="5" t="s">
        <v>66</v>
      </c>
      <c r="B21" s="5" t="n">
        <v>2022</v>
      </c>
      <c r="C21" s="5" t="s">
        <v>71</v>
      </c>
      <c r="D21" s="5" t="s">
        <v>72</v>
      </c>
      <c r="E21" s="6" t="n">
        <v>0.75</v>
      </c>
      <c r="F21" s="6" t="n">
        <v>0.25</v>
      </c>
      <c r="G21" s="6" t="n">
        <v>0.75</v>
      </c>
      <c r="H21" s="6" t="n">
        <v>1</v>
      </c>
      <c r="I21" s="6" t="n">
        <v>1</v>
      </c>
      <c r="J21" s="6" t="n">
        <v>1</v>
      </c>
      <c r="K21" s="7" t="n">
        <f aca="false">IFERROR(AVERAGE(E21:J21),"")</f>
        <v>0.791666666666667</v>
      </c>
      <c r="L21" s="8" t="s">
        <v>73</v>
      </c>
      <c r="M21" s="8" t="s">
        <v>74</v>
      </c>
      <c r="N21" s="9" t="s">
        <v>21</v>
      </c>
    </row>
    <row r="22" customFormat="false" ht="34.5" hidden="false" customHeight="true" outlineLevel="0" collapsed="false">
      <c r="A22" s="5" t="s">
        <v>66</v>
      </c>
      <c r="B22" s="5" t="n">
        <v>2023</v>
      </c>
      <c r="C22" s="5" t="s">
        <v>75</v>
      </c>
      <c r="D22" s="5" t="s">
        <v>76</v>
      </c>
      <c r="E22" s="6" t="n">
        <v>0.75</v>
      </c>
      <c r="F22" s="6" t="n">
        <v>0.25</v>
      </c>
      <c r="G22" s="6" t="n">
        <v>0.75</v>
      </c>
      <c r="H22" s="6" t="n">
        <v>0.75</v>
      </c>
      <c r="I22" s="6" t="n">
        <v>0.75</v>
      </c>
      <c r="J22" s="6" t="n">
        <v>0.67</v>
      </c>
      <c r="K22" s="7" t="n">
        <f aca="false">IFERROR(AVERAGE(E22:J22),"")</f>
        <v>0.653333333333333</v>
      </c>
      <c r="L22" s="8" t="s">
        <v>77</v>
      </c>
      <c r="M22" s="8" t="s">
        <v>78</v>
      </c>
      <c r="N22" s="9" t="s">
        <v>21</v>
      </c>
    </row>
    <row r="23" customFormat="false" ht="34.5" hidden="false" customHeight="true" outlineLevel="0" collapsed="false">
      <c r="A23" s="5" t="s">
        <v>66</v>
      </c>
      <c r="B23" s="5" t="n">
        <v>2024</v>
      </c>
      <c r="C23" s="5" t="s">
        <v>79</v>
      </c>
      <c r="D23" s="5" t="s">
        <v>80</v>
      </c>
      <c r="E23" s="6" t="n">
        <v>0.75</v>
      </c>
      <c r="F23" s="6" t="n">
        <v>0.75</v>
      </c>
      <c r="G23" s="6" t="n">
        <v>0.75</v>
      </c>
      <c r="H23" s="6" t="n">
        <v>1</v>
      </c>
      <c r="I23" s="6" t="n">
        <v>1</v>
      </c>
      <c r="J23" s="6" t="n">
        <v>0.67</v>
      </c>
      <c r="K23" s="7" t="n">
        <f aca="false">IFERROR(AVERAGE(E23:J23),"")</f>
        <v>0.82</v>
      </c>
      <c r="L23" s="8" t="s">
        <v>81</v>
      </c>
      <c r="M23" s="8" t="s">
        <v>82</v>
      </c>
      <c r="N23" s="9" t="s">
        <v>21</v>
      </c>
    </row>
    <row r="24" customFormat="false" ht="45.75" hidden="false" customHeight="true" outlineLevel="0" collapsed="false">
      <c r="A24" s="5" t="s">
        <v>66</v>
      </c>
      <c r="B24" s="5" t="n">
        <v>2025</v>
      </c>
      <c r="C24" s="5" t="s">
        <v>83</v>
      </c>
      <c r="D24" s="5" t="s">
        <v>84</v>
      </c>
      <c r="E24" s="6" t="n">
        <v>1</v>
      </c>
      <c r="F24" s="6" t="n">
        <v>0.75</v>
      </c>
      <c r="G24" s="6" t="n">
        <v>0.75</v>
      </c>
      <c r="H24" s="6" t="n">
        <v>0.75</v>
      </c>
      <c r="I24" s="6" t="n">
        <v>0.75</v>
      </c>
      <c r="J24" s="6" t="n">
        <v>1</v>
      </c>
      <c r="K24" s="7" t="n">
        <f aca="false">IFERROR(AVERAGE(E24:J24),"")</f>
        <v>0.833333333333333</v>
      </c>
      <c r="L24" s="8" t="s">
        <v>85</v>
      </c>
      <c r="M24" s="8" t="s">
        <v>86</v>
      </c>
      <c r="N24" s="9" t="s">
        <v>21</v>
      </c>
    </row>
    <row r="25" customFormat="false" ht="34.5" hidden="false" customHeight="true" outlineLevel="0" collapsed="false">
      <c r="A25" s="5" t="s">
        <v>87</v>
      </c>
      <c r="B25" s="5" t="n">
        <v>2021</v>
      </c>
      <c r="C25" s="5" t="s">
        <v>88</v>
      </c>
      <c r="D25" s="5" t="s">
        <v>89</v>
      </c>
      <c r="E25" s="6" t="n">
        <v>0.25</v>
      </c>
      <c r="F25" s="6" t="n">
        <v>0.5</v>
      </c>
      <c r="G25" s="6" t="n">
        <v>0.75</v>
      </c>
      <c r="H25" s="6" t="n">
        <v>0.75</v>
      </c>
      <c r="I25" s="6" t="n">
        <v>0.5</v>
      </c>
      <c r="J25" s="6" t="n">
        <v>0.33</v>
      </c>
      <c r="K25" s="7" t="n">
        <f aca="false">IFERROR(AVERAGE(E25:J25),"")</f>
        <v>0.513333333333333</v>
      </c>
      <c r="L25" s="8" t="s">
        <v>90</v>
      </c>
      <c r="M25" s="8" t="s">
        <v>20</v>
      </c>
      <c r="N25" s="9" t="s">
        <v>21</v>
      </c>
    </row>
    <row r="26" customFormat="false" ht="34.5" hidden="false" customHeight="true" outlineLevel="0" collapsed="false">
      <c r="A26" s="5" t="s">
        <v>87</v>
      </c>
      <c r="B26" s="5" t="n">
        <v>2022</v>
      </c>
      <c r="C26" s="5" t="s">
        <v>91</v>
      </c>
      <c r="D26" s="5" t="s">
        <v>89</v>
      </c>
      <c r="E26" s="6" t="n">
        <v>0.5</v>
      </c>
      <c r="F26" s="6" t="n">
        <v>0.5</v>
      </c>
      <c r="G26" s="6" t="n">
        <v>0.75</v>
      </c>
      <c r="H26" s="6" t="n">
        <v>0.5</v>
      </c>
      <c r="I26" s="6" t="n">
        <v>1</v>
      </c>
      <c r="J26" s="6" t="n">
        <v>0.67</v>
      </c>
      <c r="K26" s="7" t="n">
        <f aca="false">IFERROR(AVERAGE(E26:J26),"")</f>
        <v>0.653333333333333</v>
      </c>
      <c r="L26" s="8" t="s">
        <v>92</v>
      </c>
      <c r="M26" s="8" t="s">
        <v>20</v>
      </c>
      <c r="N26" s="9" t="s">
        <v>21</v>
      </c>
    </row>
    <row r="27" customFormat="false" ht="45.75" hidden="false" customHeight="true" outlineLevel="0" collapsed="false">
      <c r="A27" s="5" t="s">
        <v>87</v>
      </c>
      <c r="B27" s="5" t="n">
        <v>2023</v>
      </c>
      <c r="C27" s="5" t="s">
        <v>91</v>
      </c>
      <c r="D27" s="5" t="s">
        <v>93</v>
      </c>
      <c r="E27" s="6" t="n">
        <v>0.5</v>
      </c>
      <c r="F27" s="6" t="n">
        <v>0.5</v>
      </c>
      <c r="G27" s="6" t="n">
        <v>0.75</v>
      </c>
      <c r="H27" s="6" t="n">
        <v>0.25</v>
      </c>
      <c r="I27" s="6" t="n">
        <v>0.75</v>
      </c>
      <c r="J27" s="6" t="n">
        <v>1</v>
      </c>
      <c r="K27" s="7" t="n">
        <f aca="false">IFERROR(AVERAGE(E27:J27),"")</f>
        <v>0.625</v>
      </c>
      <c r="L27" s="8" t="s">
        <v>94</v>
      </c>
      <c r="M27" s="8" t="s">
        <v>95</v>
      </c>
      <c r="N27" s="9" t="s">
        <v>21</v>
      </c>
    </row>
    <row r="28" customFormat="false" ht="34.5" hidden="false" customHeight="true" outlineLevel="0" collapsed="false">
      <c r="A28" s="5" t="s">
        <v>87</v>
      </c>
      <c r="B28" s="5" t="n">
        <v>2024</v>
      </c>
      <c r="C28" s="5" t="s">
        <v>96</v>
      </c>
      <c r="D28" s="5" t="s">
        <v>97</v>
      </c>
      <c r="E28" s="6" t="n">
        <v>0.25</v>
      </c>
      <c r="F28" s="6" t="n">
        <v>0.5</v>
      </c>
      <c r="G28" s="6" t="n">
        <v>1</v>
      </c>
      <c r="H28" s="6" t="n">
        <v>0.75</v>
      </c>
      <c r="I28" s="6" t="n">
        <v>1</v>
      </c>
      <c r="J28" s="6" t="n">
        <v>1</v>
      </c>
      <c r="K28" s="7" t="n">
        <f aca="false">IFERROR(AVERAGE(E28:J28),"")</f>
        <v>0.75</v>
      </c>
      <c r="L28" s="8" t="s">
        <v>98</v>
      </c>
      <c r="M28" s="8" t="s">
        <v>20</v>
      </c>
      <c r="N28" s="9" t="s">
        <v>21</v>
      </c>
    </row>
    <row r="29" customFormat="false" ht="45.75" hidden="false" customHeight="true" outlineLevel="0" collapsed="false">
      <c r="A29" s="5" t="s">
        <v>87</v>
      </c>
      <c r="B29" s="5" t="n">
        <v>2025</v>
      </c>
      <c r="C29" s="5" t="s">
        <v>99</v>
      </c>
      <c r="D29" s="5" t="s">
        <v>97</v>
      </c>
      <c r="E29" s="6" t="n">
        <v>0.5</v>
      </c>
      <c r="F29" s="6" t="n">
        <v>0.5</v>
      </c>
      <c r="G29" s="6" t="n">
        <v>1</v>
      </c>
      <c r="H29" s="6" t="n">
        <v>1</v>
      </c>
      <c r="I29" s="6" t="n">
        <v>1</v>
      </c>
      <c r="J29" s="6" t="n">
        <v>0.67</v>
      </c>
      <c r="K29" s="7" t="n">
        <f aca="false">IFERROR(AVERAGE(E29:J29),"")</f>
        <v>0.778333333333333</v>
      </c>
      <c r="L29" s="8" t="s">
        <v>100</v>
      </c>
      <c r="M29" s="8" t="s">
        <v>101</v>
      </c>
      <c r="N29" s="9" t="s">
        <v>21</v>
      </c>
    </row>
    <row r="31" customFormat="false" ht="15" hidden="false" customHeight="true" outlineLevel="0" collapsed="false">
      <c r="A31" s="11" t="s">
        <v>102</v>
      </c>
    </row>
    <row r="32" customFormat="false" ht="15" hidden="false" customHeight="true" outlineLevel="0" collapsed="false">
      <c r="A32" s="3" t="s">
        <v>103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customFormat="false" ht="15" hidden="false" customHeight="true" outlineLevel="0" collapsed="false">
      <c r="A33" s="3" t="s">
        <v>104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customFormat="false" ht="15" hidden="false" customHeight="true" outlineLevel="0" collapsed="false">
      <c r="A34" s="3" t="s">
        <v>105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</sheetData>
  <mergeCells count="5">
    <mergeCell ref="A1:N1"/>
    <mergeCell ref="A2:N2"/>
    <mergeCell ref="A32:N32"/>
    <mergeCell ref="A33:N33"/>
    <mergeCell ref="A34:N34"/>
  </mergeCells>
  <hyperlinks>
    <hyperlink ref="N5" r:id="rId1" display="Abrir chat"/>
    <hyperlink ref="N6" r:id="rId2" display="Abrir chat"/>
    <hyperlink ref="N7" r:id="rId3" display="Abrir chat"/>
    <hyperlink ref="N8" r:id="rId4" display="Abrir chat"/>
    <hyperlink ref="N9" r:id="rId5" display="Abrir chat"/>
    <hyperlink ref="N10" r:id="rId6" display="Abrir chat"/>
    <hyperlink ref="N11" r:id="rId7" display="Abrir chat"/>
    <hyperlink ref="N12" r:id="rId8" display="Abrir chat"/>
    <hyperlink ref="N13" r:id="rId9" display="Abrir chat"/>
    <hyperlink ref="N14" r:id="rId10" display="Abrir chat"/>
    <hyperlink ref="N15" r:id="rId11" display="Abrir chat"/>
    <hyperlink ref="N16" r:id="rId12" display="Abrir chat"/>
    <hyperlink ref="N17" r:id="rId13" display="Abrir chat"/>
    <hyperlink ref="N18" r:id="rId14" display="Abrir chat"/>
    <hyperlink ref="N19" r:id="rId15" display="Abrir chat"/>
    <hyperlink ref="N20" r:id="rId16" display="Abrir chat"/>
    <hyperlink ref="N21" r:id="rId17" display="Abrir chat"/>
    <hyperlink ref="N22" r:id="rId18" display="Abrir chat"/>
    <hyperlink ref="N23" r:id="rId19" display="Abrir chat"/>
    <hyperlink ref="N24" r:id="rId20" display="Abrir chat"/>
    <hyperlink ref="N25" r:id="rId21" display="Abrir chat"/>
    <hyperlink ref="N26" r:id="rId22" display="Abrir chat"/>
    <hyperlink ref="N27" r:id="rId23" display="Abrir chat"/>
    <hyperlink ref="N28" r:id="rId24" display="Abrir chat"/>
    <hyperlink ref="N29" r:id="rId25" display="Abrir cha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3" min="3" style="1" width="40"/>
    <col collapsed="false" customWidth="true" hidden="false" outlineLevel="0" max="4" min="4" style="1" width="26"/>
    <col collapsed="false" customWidth="true" hidden="false" outlineLevel="0" max="5" min="5" style="1" width="36"/>
    <col collapsed="false" customWidth="true" hidden="false" outlineLevel="0" max="6" min="6" style="1" width="22"/>
    <col collapsed="false" customWidth="true" hidden="false" outlineLevel="0" max="7" min="7" style="1" width="24"/>
    <col collapsed="false" customWidth="true" hidden="false" outlineLevel="0" max="8" min="8" style="1" width="44"/>
    <col collapsed="false" customWidth="true" hidden="false" outlineLevel="0" max="9" min="9" style="1" width="12"/>
  </cols>
  <sheetData>
    <row r="1" customFormat="false" ht="17.25" hidden="false" customHeight="true" outlineLevel="0" collapsed="false">
      <c r="A1" s="2" t="s">
        <v>106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107</v>
      </c>
      <c r="B2" s="3"/>
      <c r="C2" s="3"/>
      <c r="D2" s="3"/>
      <c r="E2" s="3"/>
      <c r="F2" s="3"/>
      <c r="G2" s="3"/>
      <c r="H2" s="3"/>
      <c r="I2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108</v>
      </c>
      <c r="D4" s="4" t="s">
        <v>109</v>
      </c>
      <c r="E4" s="4" t="s">
        <v>110</v>
      </c>
      <c r="F4" s="4" t="s">
        <v>111</v>
      </c>
      <c r="G4" s="4" t="s">
        <v>112</v>
      </c>
      <c r="H4" s="4" t="s">
        <v>113</v>
      </c>
      <c r="I4" s="4" t="s">
        <v>15</v>
      </c>
    </row>
    <row r="5" customFormat="false" ht="34.5" hidden="false" customHeight="true" outlineLevel="0" collapsed="false">
      <c r="A5" s="8" t="s">
        <v>16</v>
      </c>
      <c r="B5" s="8" t="n">
        <v>2021</v>
      </c>
      <c r="C5" s="8" t="s">
        <v>18</v>
      </c>
      <c r="D5" s="12" t="s">
        <v>114</v>
      </c>
      <c r="E5" s="8" t="s">
        <v>115</v>
      </c>
      <c r="F5" s="12" t="s">
        <v>116</v>
      </c>
      <c r="G5" s="8" t="s">
        <v>117</v>
      </c>
      <c r="H5" s="8" t="s">
        <v>118</v>
      </c>
      <c r="I5" s="9" t="s">
        <v>21</v>
      </c>
    </row>
    <row r="6" customFormat="false" ht="23.25" hidden="false" customHeight="true" outlineLevel="0" collapsed="false">
      <c r="A6" s="8" t="s">
        <v>16</v>
      </c>
      <c r="B6" s="8" t="n">
        <v>2022</v>
      </c>
      <c r="C6" s="8" t="s">
        <v>23</v>
      </c>
      <c r="D6" s="8" t="s">
        <v>119</v>
      </c>
      <c r="E6" s="8" t="s">
        <v>120</v>
      </c>
      <c r="F6" s="8" t="s">
        <v>121</v>
      </c>
      <c r="G6" s="8" t="s">
        <v>117</v>
      </c>
      <c r="H6" s="8" t="s">
        <v>122</v>
      </c>
      <c r="I6" s="9" t="s">
        <v>21</v>
      </c>
    </row>
    <row r="7" customFormat="false" ht="23.25" hidden="false" customHeight="true" outlineLevel="0" collapsed="false">
      <c r="A7" s="8" t="s">
        <v>16</v>
      </c>
      <c r="B7" s="8" t="n">
        <v>2023</v>
      </c>
      <c r="C7" s="8" t="s">
        <v>26</v>
      </c>
      <c r="D7" s="12" t="s">
        <v>123</v>
      </c>
      <c r="E7" s="8" t="s">
        <v>124</v>
      </c>
      <c r="F7" s="8" t="s">
        <v>125</v>
      </c>
      <c r="G7" s="8" t="s">
        <v>117</v>
      </c>
      <c r="H7" s="8" t="s">
        <v>126</v>
      </c>
      <c r="I7" s="9" t="s">
        <v>21</v>
      </c>
    </row>
    <row r="8" customFormat="false" ht="23.25" hidden="false" customHeight="true" outlineLevel="0" collapsed="false">
      <c r="A8" s="8" t="s">
        <v>16</v>
      </c>
      <c r="B8" s="8" t="n">
        <v>2024</v>
      </c>
      <c r="C8" s="8" t="s">
        <v>127</v>
      </c>
      <c r="D8" s="12" t="s">
        <v>128</v>
      </c>
      <c r="E8" s="8" t="s">
        <v>129</v>
      </c>
      <c r="F8" s="12" t="s">
        <v>130</v>
      </c>
      <c r="G8" s="8" t="s">
        <v>117</v>
      </c>
      <c r="H8" s="8" t="s">
        <v>131</v>
      </c>
      <c r="I8" s="9" t="s">
        <v>21</v>
      </c>
    </row>
    <row r="9" customFormat="false" ht="23.25" hidden="false" customHeight="true" outlineLevel="0" collapsed="false">
      <c r="A9" s="8" t="s">
        <v>16</v>
      </c>
      <c r="B9" s="8" t="n">
        <v>2025</v>
      </c>
      <c r="C9" s="8" t="s">
        <v>132</v>
      </c>
      <c r="D9" s="12" t="s">
        <v>133</v>
      </c>
      <c r="E9" s="8" t="s">
        <v>134</v>
      </c>
      <c r="F9" s="8" t="s">
        <v>135</v>
      </c>
      <c r="G9" s="8" t="s">
        <v>117</v>
      </c>
      <c r="H9" s="8" t="s">
        <v>136</v>
      </c>
      <c r="I9" s="9" t="s">
        <v>21</v>
      </c>
    </row>
    <row r="10" customFormat="false" ht="23.25" hidden="false" customHeight="true" outlineLevel="0" collapsed="false">
      <c r="A10" s="8" t="s">
        <v>36</v>
      </c>
      <c r="B10" s="8" t="n">
        <v>2021</v>
      </c>
      <c r="C10" s="8" t="s">
        <v>137</v>
      </c>
      <c r="D10" s="8" t="s">
        <v>138</v>
      </c>
      <c r="E10" s="12" t="s">
        <v>139</v>
      </c>
      <c r="F10" s="8" t="s">
        <v>140</v>
      </c>
      <c r="G10" s="8" t="s">
        <v>141</v>
      </c>
      <c r="H10" s="8" t="s">
        <v>142</v>
      </c>
      <c r="I10" s="9" t="s">
        <v>21</v>
      </c>
    </row>
    <row r="11" customFormat="false" ht="23.25" hidden="false" customHeight="true" outlineLevel="0" collapsed="false">
      <c r="A11" s="8" t="s">
        <v>36</v>
      </c>
      <c r="B11" s="8" t="n">
        <v>2022</v>
      </c>
      <c r="C11" s="8" t="s">
        <v>41</v>
      </c>
      <c r="D11" s="8" t="s">
        <v>143</v>
      </c>
      <c r="E11" s="8" t="s">
        <v>144</v>
      </c>
      <c r="F11" s="8" t="s">
        <v>145</v>
      </c>
      <c r="G11" s="8" t="s">
        <v>141</v>
      </c>
      <c r="H11" s="8" t="s">
        <v>146</v>
      </c>
      <c r="I11" s="9" t="s">
        <v>21</v>
      </c>
    </row>
    <row r="12" customFormat="false" ht="23.25" hidden="false" customHeight="true" outlineLevel="0" collapsed="false">
      <c r="A12" s="8" t="s">
        <v>36</v>
      </c>
      <c r="B12" s="8" t="n">
        <v>2023</v>
      </c>
      <c r="C12" s="8" t="s">
        <v>147</v>
      </c>
      <c r="D12" s="8" t="s">
        <v>148</v>
      </c>
      <c r="E12" s="8" t="s">
        <v>149</v>
      </c>
      <c r="F12" s="8" t="s">
        <v>150</v>
      </c>
      <c r="G12" s="8" t="s">
        <v>141</v>
      </c>
      <c r="H12" s="8" t="s">
        <v>151</v>
      </c>
      <c r="I12" s="9" t="s">
        <v>21</v>
      </c>
    </row>
    <row r="13" customFormat="false" ht="23.25" hidden="false" customHeight="true" outlineLevel="0" collapsed="false">
      <c r="A13" s="8" t="s">
        <v>36</v>
      </c>
      <c r="B13" s="8" t="n">
        <v>2024</v>
      </c>
      <c r="C13" s="8" t="s">
        <v>48</v>
      </c>
      <c r="D13" s="8" t="s">
        <v>152</v>
      </c>
      <c r="E13" s="8" t="s">
        <v>153</v>
      </c>
      <c r="F13" s="12" t="s">
        <v>154</v>
      </c>
      <c r="G13" s="8" t="s">
        <v>141</v>
      </c>
      <c r="H13" s="8" t="s">
        <v>146</v>
      </c>
      <c r="I13" s="9" t="s">
        <v>21</v>
      </c>
    </row>
    <row r="14" customFormat="false" ht="23.25" hidden="false" customHeight="true" outlineLevel="0" collapsed="false">
      <c r="A14" s="8" t="s">
        <v>36</v>
      </c>
      <c r="B14" s="8" t="n">
        <v>2025</v>
      </c>
      <c r="C14" s="8" t="s">
        <v>155</v>
      </c>
      <c r="D14" s="8" t="s">
        <v>156</v>
      </c>
      <c r="E14" s="8" t="s">
        <v>157</v>
      </c>
      <c r="F14" s="12" t="s">
        <v>158</v>
      </c>
      <c r="G14" s="8" t="s">
        <v>141</v>
      </c>
      <c r="H14" s="8" t="s">
        <v>159</v>
      </c>
      <c r="I14" s="9" t="s">
        <v>21</v>
      </c>
    </row>
    <row r="15" customFormat="false" ht="23.25" hidden="false" customHeight="true" outlineLevel="0" collapsed="false">
      <c r="A15" s="8" t="s">
        <v>54</v>
      </c>
      <c r="B15" s="8" t="n">
        <v>2021</v>
      </c>
      <c r="C15" s="8" t="s">
        <v>56</v>
      </c>
      <c r="D15" s="8" t="s">
        <v>160</v>
      </c>
      <c r="E15" s="8" t="s">
        <v>161</v>
      </c>
      <c r="F15" s="8" t="s">
        <v>162</v>
      </c>
      <c r="G15" s="8" t="s">
        <v>163</v>
      </c>
      <c r="H15" s="8" t="s">
        <v>164</v>
      </c>
      <c r="I15" s="9" t="s">
        <v>21</v>
      </c>
    </row>
    <row r="16" customFormat="false" ht="23.25" hidden="false" customHeight="true" outlineLevel="0" collapsed="false">
      <c r="A16" s="8" t="s">
        <v>54</v>
      </c>
      <c r="B16" s="8" t="n">
        <v>2022</v>
      </c>
      <c r="C16" s="8" t="s">
        <v>56</v>
      </c>
      <c r="D16" s="8" t="s">
        <v>160</v>
      </c>
      <c r="E16" s="8" t="s">
        <v>165</v>
      </c>
      <c r="F16" s="8" t="s">
        <v>162</v>
      </c>
      <c r="G16" s="8" t="s">
        <v>163</v>
      </c>
      <c r="H16" s="8" t="s">
        <v>146</v>
      </c>
      <c r="I16" s="9" t="s">
        <v>21</v>
      </c>
    </row>
    <row r="17" customFormat="false" ht="23.25" hidden="false" customHeight="true" outlineLevel="0" collapsed="false">
      <c r="A17" s="8" t="s">
        <v>54</v>
      </c>
      <c r="B17" s="8" t="n">
        <v>2023</v>
      </c>
      <c r="C17" s="8" t="s">
        <v>56</v>
      </c>
      <c r="D17" s="8" t="s">
        <v>166</v>
      </c>
      <c r="E17" s="12" t="s">
        <v>167</v>
      </c>
      <c r="F17" s="12" t="s">
        <v>158</v>
      </c>
      <c r="G17" s="8" t="s">
        <v>163</v>
      </c>
      <c r="H17" s="8" t="s">
        <v>168</v>
      </c>
      <c r="I17" s="9" t="s">
        <v>21</v>
      </c>
    </row>
    <row r="18" customFormat="false" ht="23.25" hidden="false" customHeight="true" outlineLevel="0" collapsed="false">
      <c r="A18" s="8" t="s">
        <v>54</v>
      </c>
      <c r="B18" s="8" t="n">
        <v>2024</v>
      </c>
      <c r="C18" s="8" t="s">
        <v>63</v>
      </c>
      <c r="D18" s="8" t="s">
        <v>169</v>
      </c>
      <c r="E18" s="12" t="s">
        <v>170</v>
      </c>
      <c r="F18" s="8" t="s">
        <v>162</v>
      </c>
      <c r="G18" s="8" t="s">
        <v>163</v>
      </c>
      <c r="H18" s="8" t="s">
        <v>171</v>
      </c>
      <c r="I18" s="9" t="s">
        <v>21</v>
      </c>
    </row>
    <row r="19" customFormat="false" ht="34.5" hidden="false" customHeight="true" outlineLevel="0" collapsed="false">
      <c r="A19" s="8" t="s">
        <v>54</v>
      </c>
      <c r="B19" s="8" t="n">
        <v>2025</v>
      </c>
      <c r="C19" s="8" t="s">
        <v>63</v>
      </c>
      <c r="D19" s="8" t="s">
        <v>166</v>
      </c>
      <c r="E19" s="12" t="s">
        <v>170</v>
      </c>
      <c r="F19" s="12" t="s">
        <v>172</v>
      </c>
      <c r="G19" s="8" t="s">
        <v>163</v>
      </c>
      <c r="H19" s="8" t="s">
        <v>146</v>
      </c>
      <c r="I19" s="9" t="s">
        <v>21</v>
      </c>
    </row>
    <row r="20" customFormat="false" ht="23.25" hidden="false" customHeight="true" outlineLevel="0" collapsed="false">
      <c r="A20" s="8" t="s">
        <v>66</v>
      </c>
      <c r="B20" s="8" t="n">
        <v>2021</v>
      </c>
      <c r="C20" s="8" t="s">
        <v>173</v>
      </c>
      <c r="D20" s="8" t="s">
        <v>174</v>
      </c>
      <c r="E20" s="8" t="s">
        <v>175</v>
      </c>
      <c r="F20" s="8" t="s">
        <v>135</v>
      </c>
      <c r="G20" s="8" t="s">
        <v>176</v>
      </c>
      <c r="H20" s="8" t="s">
        <v>146</v>
      </c>
      <c r="I20" s="9" t="s">
        <v>21</v>
      </c>
    </row>
    <row r="21" customFormat="false" ht="23.25" hidden="false" customHeight="true" outlineLevel="0" collapsed="false">
      <c r="A21" s="8" t="s">
        <v>66</v>
      </c>
      <c r="B21" s="8" t="n">
        <v>2022</v>
      </c>
      <c r="C21" s="8" t="s">
        <v>177</v>
      </c>
      <c r="D21" s="8" t="s">
        <v>178</v>
      </c>
      <c r="E21" s="8" t="s">
        <v>179</v>
      </c>
      <c r="F21" s="12" t="s">
        <v>180</v>
      </c>
      <c r="G21" s="8" t="s">
        <v>176</v>
      </c>
      <c r="H21" s="8" t="s">
        <v>146</v>
      </c>
      <c r="I21" s="9" t="s">
        <v>21</v>
      </c>
    </row>
    <row r="22" customFormat="false" ht="23.25" hidden="false" customHeight="true" outlineLevel="0" collapsed="false">
      <c r="A22" s="8" t="s">
        <v>66</v>
      </c>
      <c r="B22" s="8" t="n">
        <v>2023</v>
      </c>
      <c r="C22" s="8" t="s">
        <v>181</v>
      </c>
      <c r="D22" s="8" t="s">
        <v>182</v>
      </c>
      <c r="E22" s="12" t="s">
        <v>183</v>
      </c>
      <c r="F22" s="8" t="s">
        <v>184</v>
      </c>
      <c r="G22" s="8" t="s">
        <v>176</v>
      </c>
      <c r="H22" s="8" t="s">
        <v>185</v>
      </c>
      <c r="I22" s="9" t="s">
        <v>21</v>
      </c>
    </row>
    <row r="23" customFormat="false" ht="23.25" hidden="false" customHeight="true" outlineLevel="0" collapsed="false">
      <c r="A23" s="8" t="s">
        <v>66</v>
      </c>
      <c r="B23" s="8" t="n">
        <v>2024</v>
      </c>
      <c r="C23" s="8" t="s">
        <v>186</v>
      </c>
      <c r="D23" s="8" t="s">
        <v>187</v>
      </c>
      <c r="E23" s="8" t="s">
        <v>188</v>
      </c>
      <c r="F23" s="12" t="s">
        <v>180</v>
      </c>
      <c r="G23" s="8" t="s">
        <v>176</v>
      </c>
      <c r="H23" s="8" t="s">
        <v>146</v>
      </c>
      <c r="I23" s="9" t="s">
        <v>21</v>
      </c>
    </row>
    <row r="24" customFormat="false" ht="23.25" hidden="false" customHeight="true" outlineLevel="0" collapsed="false">
      <c r="A24" s="8" t="s">
        <v>66</v>
      </c>
      <c r="B24" s="8" t="n">
        <v>2025</v>
      </c>
      <c r="C24" s="8" t="s">
        <v>186</v>
      </c>
      <c r="D24" s="8" t="s">
        <v>189</v>
      </c>
      <c r="E24" s="8" t="s">
        <v>190</v>
      </c>
      <c r="F24" s="8" t="s">
        <v>191</v>
      </c>
      <c r="G24" s="8" t="s">
        <v>192</v>
      </c>
      <c r="H24" s="8" t="s">
        <v>193</v>
      </c>
      <c r="I24" s="9" t="s">
        <v>21</v>
      </c>
    </row>
    <row r="25" customFormat="false" ht="23.25" hidden="false" customHeight="true" outlineLevel="0" collapsed="false">
      <c r="A25" s="8" t="s">
        <v>87</v>
      </c>
      <c r="B25" s="8" t="n">
        <v>2021</v>
      </c>
      <c r="C25" s="8" t="s">
        <v>89</v>
      </c>
      <c r="D25" s="12" t="s">
        <v>194</v>
      </c>
      <c r="E25" s="8" t="s">
        <v>195</v>
      </c>
      <c r="F25" s="12" t="s">
        <v>196</v>
      </c>
      <c r="G25" s="8" t="s">
        <v>197</v>
      </c>
      <c r="H25" s="8" t="s">
        <v>198</v>
      </c>
      <c r="I25" s="9" t="s">
        <v>21</v>
      </c>
    </row>
    <row r="26" customFormat="false" ht="23.25" hidden="false" customHeight="true" outlineLevel="0" collapsed="false">
      <c r="A26" s="8" t="s">
        <v>87</v>
      </c>
      <c r="B26" s="8" t="n">
        <v>2022</v>
      </c>
      <c r="C26" s="8" t="s">
        <v>89</v>
      </c>
      <c r="D26" s="12" t="s">
        <v>199</v>
      </c>
      <c r="E26" s="8" t="s">
        <v>200</v>
      </c>
      <c r="F26" s="8" t="s">
        <v>201</v>
      </c>
      <c r="G26" s="8" t="s">
        <v>197</v>
      </c>
      <c r="H26" s="8" t="s">
        <v>202</v>
      </c>
      <c r="I26" s="9" t="s">
        <v>21</v>
      </c>
    </row>
    <row r="27" customFormat="false" ht="45.75" hidden="false" customHeight="true" outlineLevel="0" collapsed="false">
      <c r="A27" s="8" t="s">
        <v>87</v>
      </c>
      <c r="B27" s="8" t="n">
        <v>2023</v>
      </c>
      <c r="C27" s="8" t="s">
        <v>203</v>
      </c>
      <c r="D27" s="8" t="s">
        <v>204</v>
      </c>
      <c r="E27" s="12" t="s">
        <v>183</v>
      </c>
      <c r="F27" s="12" t="s">
        <v>180</v>
      </c>
      <c r="G27" s="8" t="s">
        <v>197</v>
      </c>
      <c r="H27" s="8" t="s">
        <v>205</v>
      </c>
      <c r="I27" s="9" t="s">
        <v>21</v>
      </c>
    </row>
    <row r="28" customFormat="false" ht="23.25" hidden="false" customHeight="true" outlineLevel="0" collapsed="false">
      <c r="A28" s="8" t="s">
        <v>87</v>
      </c>
      <c r="B28" s="8" t="n">
        <v>2024</v>
      </c>
      <c r="C28" s="8" t="s">
        <v>97</v>
      </c>
      <c r="D28" s="8" t="s">
        <v>206</v>
      </c>
      <c r="E28" s="8" t="s">
        <v>207</v>
      </c>
      <c r="F28" s="12" t="s">
        <v>158</v>
      </c>
      <c r="G28" s="8" t="s">
        <v>197</v>
      </c>
      <c r="H28" s="8" t="s">
        <v>146</v>
      </c>
      <c r="I28" s="9" t="s">
        <v>21</v>
      </c>
    </row>
    <row r="29" customFormat="false" ht="34.5" hidden="false" customHeight="true" outlineLevel="0" collapsed="false">
      <c r="A29" s="8" t="s">
        <v>87</v>
      </c>
      <c r="B29" s="8" t="n">
        <v>2025</v>
      </c>
      <c r="C29" s="8" t="s">
        <v>97</v>
      </c>
      <c r="D29" s="12" t="s">
        <v>208</v>
      </c>
      <c r="E29" s="12" t="s">
        <v>209</v>
      </c>
      <c r="F29" s="8" t="s">
        <v>210</v>
      </c>
      <c r="G29" s="8" t="s">
        <v>197</v>
      </c>
      <c r="H29" s="8" t="s">
        <v>211</v>
      </c>
      <c r="I29" s="9" t="s">
        <v>21</v>
      </c>
    </row>
  </sheetData>
  <mergeCells count="2">
    <mergeCell ref="A1:I1"/>
    <mergeCell ref="A2:I2"/>
  </mergeCells>
  <hyperlinks>
    <hyperlink ref="I5" r:id="rId1" display="Abrir chat"/>
    <hyperlink ref="I6" r:id="rId2" display="Abrir chat"/>
    <hyperlink ref="I7" r:id="rId3" display="Abrir chat"/>
    <hyperlink ref="I8" r:id="rId4" display="Abrir chat"/>
    <hyperlink ref="I9" r:id="rId5" display="Abrir chat"/>
    <hyperlink ref="I10" r:id="rId6" display="Abrir chat"/>
    <hyperlink ref="I11" r:id="rId7" display="Abrir chat"/>
    <hyperlink ref="I12" r:id="rId8" display="Abrir chat"/>
    <hyperlink ref="I13" r:id="rId9" display="Abrir chat"/>
    <hyperlink ref="I14" r:id="rId10" display="Abrir chat"/>
    <hyperlink ref="I15" r:id="rId11" display="Abrir chat"/>
    <hyperlink ref="I16" r:id="rId12" display="Abrir chat"/>
    <hyperlink ref="I17" r:id="rId13" display="Abrir chat"/>
    <hyperlink ref="I18" r:id="rId14" display="Abrir chat"/>
    <hyperlink ref="I19" r:id="rId15" display="Abrir chat"/>
    <hyperlink ref="I20" r:id="rId16" display="Abrir chat"/>
    <hyperlink ref="I21" r:id="rId17" display="Abrir chat"/>
    <hyperlink ref="I22" r:id="rId18" display="Abrir chat"/>
    <hyperlink ref="I23" r:id="rId19" display="Abrir chat"/>
    <hyperlink ref="I24" r:id="rId20" display="Abrir chat"/>
    <hyperlink ref="I25" r:id="rId21" display="Abrir chat"/>
    <hyperlink ref="I26" r:id="rId22" display="Abrir chat"/>
    <hyperlink ref="I27" r:id="rId23" display="Abrir chat"/>
    <hyperlink ref="I28" r:id="rId24" display="Abrir chat"/>
    <hyperlink ref="I29" r:id="rId25" display="Abrir cha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13" t="s">
        <v>212</v>
      </c>
    </row>
    <row r="2" customFormat="false" ht="15" hidden="false" customHeight="true" outlineLevel="0" collapsed="false">
      <c r="A2" s="14"/>
    </row>
    <row r="3" customFormat="false" ht="23.25" hidden="false" customHeight="true" outlineLevel="0" collapsed="false">
      <c r="A3" s="14" t="s">
        <v>213</v>
      </c>
    </row>
    <row r="4" customFormat="false" ht="15" hidden="false" customHeight="true" outlineLevel="0" collapsed="false">
      <c r="A4" s="14"/>
    </row>
    <row r="5" customFormat="false" ht="34.5" hidden="false" customHeight="true" outlineLevel="0" collapsed="false">
      <c r="A5" s="14" t="s">
        <v>214</v>
      </c>
    </row>
    <row r="6" customFormat="false" ht="15" hidden="false" customHeight="true" outlineLevel="0" collapsed="false">
      <c r="A6" s="14"/>
    </row>
    <row r="7" customFormat="false" ht="23.25" hidden="false" customHeight="true" outlineLevel="0" collapsed="false">
      <c r="A7" s="14" t="s">
        <v>215</v>
      </c>
    </row>
    <row r="8" customFormat="false" ht="15" hidden="false" customHeight="true" outlineLevel="0" collapsed="false">
      <c r="A8" s="14"/>
    </row>
    <row r="9" customFormat="false" ht="15" hidden="false" customHeight="true" outlineLevel="0" collapsed="false">
      <c r="A9" s="14" t="s">
        <v>216</v>
      </c>
    </row>
    <row r="10" customFormat="false" ht="15" hidden="false" customHeight="true" outlineLevel="0" collapsed="false">
      <c r="A10" s="14"/>
    </row>
    <row r="11" customFormat="false" ht="15" hidden="false" customHeight="true" outlineLevel="0" collapsed="false">
      <c r="A11" s="14" t="s">
        <v>217</v>
      </c>
    </row>
    <row r="12" customFormat="false" ht="23.25" hidden="false" customHeight="true" outlineLevel="0" collapsed="false">
      <c r="A12" s="14"/>
    </row>
    <row r="13" customFormat="false" ht="15" hidden="false" customHeight="true" outlineLevel="0" collapsed="false">
      <c r="A13" s="14" t="s">
        <v>218</v>
      </c>
    </row>
    <row r="14" customFormat="false" ht="45.75" hidden="false" customHeight="true" outlineLevel="0" collapsed="false">
      <c r="A14" s="14"/>
    </row>
    <row r="15" customFormat="false" ht="15" hidden="false" customHeight="true" outlineLevel="0" collapsed="false">
      <c r="A15" s="14" t="s">
        <v>219</v>
      </c>
    </row>
    <row r="16" customFormat="false" ht="23.25" hidden="false" customHeight="true" outlineLevel="0" collapsed="false">
      <c r="A16" s="14"/>
    </row>
    <row r="17" customFormat="false" ht="15" hidden="false" customHeight="true" outlineLevel="0" collapsed="false">
      <c r="A17" s="14" t="s">
        <v>220</v>
      </c>
    </row>
    <row r="18" customFormat="false" ht="23.25" hidden="false" customHeight="true" outlineLevel="0" collapsed="false">
      <c r="A18" s="14"/>
    </row>
    <row r="19" customFormat="false" ht="15" hidden="false" customHeight="true" outlineLevel="0" collapsed="false">
      <c r="A19" s="14"/>
    </row>
    <row r="20" customFormat="false" ht="23.25" hidden="false" customHeight="true" outlineLevel="0" collapsed="false">
      <c r="A20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2026-08-16T14:24:34Z</dcterms:created>
  <dc:creator>openpyxl</dc:creator>
  <dc:description/>
  <dc:language>en-US</dc:language>
  <cp:lastModifiedBy/>
  <dcterms:modified xsi:type="dcterms:W3CDTF">2026-08-18T12:39:14Z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