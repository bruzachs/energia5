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Matriz de Maturidade" sheetId="1" state="visible" r:id="rId3"/>
    <sheet name="Perfil e Porte" sheetId="2" state="visible" r:id="rId4"/>
    <sheet name="Notas de Consolidação" sheetId="3" state="visible" r:id="rId5"/>
    <sheet name="Auditoria 06-10" sheetId="4" state="visible" r:id="rId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<sst xmlns="http://schemas.openxmlformats.org/spreadsheetml/2006/main" count="512" uniqueCount="300">
  <si>
    <t xml:space="preserve">EnergIA 5.0 — Matriz de Maturidade por Dimensão Analítica (DA-I a DA-VI)</t>
  </si>
  <si>
    <t xml:space="preserve">Consolidação de todas as análises feitas com o skill 'analise-relatorio-sustentabilidade' (25 relatórios, 5 empresas x 5 anos, 2021-2025) — atualizada com nova varredura do histórico de chats</t>
  </si>
  <si>
    <t xml:space="preserve">Empresa</t>
  </si>
  <si>
    <t xml:space="preserve">Ano relatório</t>
  </si>
  <si>
    <t xml:space="preserve">Padrão do relatório</t>
  </si>
  <si>
    <t xml:space="preserve">Setor/subsetor</t>
  </si>
  <si>
    <t xml:space="preserve">DA-I (%)</t>
  </si>
  <si>
    <t xml:space="preserve">DA-II (%)</t>
  </si>
  <si>
    <t xml:space="preserve">DA-III (%)</t>
  </si>
  <si>
    <t xml:space="preserve">DA-IV (%)</t>
  </si>
  <si>
    <t xml:space="preserve">DA-V (%)</t>
  </si>
  <si>
    <t xml:space="preserve">DA-VI (%)</t>
  </si>
  <si>
    <t xml:space="preserve">Maturidade média (%)</t>
  </si>
  <si>
    <t xml:space="preserve">Achados-chave</t>
  </si>
  <si>
    <t xml:space="preserve">Observações de consolidação</t>
  </si>
  <si>
    <t xml:space="preserve">Chat original</t>
  </si>
  <si>
    <t xml:space="preserve">Energisa</t>
  </si>
  <si>
    <t xml:space="preserve">GRI + SASB + COP Pacto Global</t>
  </si>
  <si>
    <t xml:space="preserve">Distribuição, transmissão, geração renovável e comercialização</t>
  </si>
  <si>
    <t xml:space="preserve">1º inventário de GEE (GHG Protocol); fortes dados sociais/governança; quase nenhum CAPEX/OPEX/LCOE de transição.</t>
  </si>
  <si>
    <t xml:space="preserve">Dados completos.</t>
  </si>
  <si>
    <t xml:space="preserve">Abrir chat</t>
  </si>
  <si>
    <t xml:space="preserve">Relato integrado com diretrizes GRI; verificação KPMG</t>
  </si>
  <si>
    <t xml:space="preserve">Distribuição, transmissão, geração e comercialização (10 distribuidoras)</t>
  </si>
  <si>
    <t xml:space="preserve">Título verde R$750mi; 263,6 MW renovável próprio; treinamento 42,41h; acidentes 4,81.</t>
  </si>
  <si>
    <t xml:space="preserve">GRI Standards + GRI 1 (2021); Selo Ouro FGV</t>
  </si>
  <si>
    <t xml:space="preserve">Distribuição/transmissão elétrica; gás natural (ES Gás); biometano</t>
  </si>
  <si>
    <t xml:space="preserve">DEC/FEC por distribuidora; capex R$4,4bi; treinamento 69,44h(H)/26,26h(M); GRI 306 (resíduos) não reportado por decisão organizacional; meta 2050.</t>
  </si>
  <si>
    <t xml:space="preserve">Dados completos (maturidade geral ~67%).</t>
  </si>
  <si>
    <t xml:space="preserve">GRI Standards 2021</t>
  </si>
  <si>
    <t xml:space="preserve">Distribuição/transmissão elétrica; gás natural; biometano; geração distribuída</t>
  </si>
  <si>
    <t xml:space="preserve">Maturidade geral: 54% (13/24). GEE total 5.910.116,58 tCO2e; treinamento 47,5h/colaborador; 104 acidentes; IA para manutenção de linhas; NIST CSF.</t>
  </si>
  <si>
    <t xml:space="preserve">DA-VI corrigido de 0,75 para 1,00 em 06/10/2026: a análise original do relatório registra 3 de 3 indicadores (incentivos P&amp;D Aneel, parcerias, barreiras regulatórias). O 0,75 vinha de estimativa por diferença usando 24 indicadores no denominador, mas são 23 (DA-VI tem 3). Demais dimensões confirmadas diretamente.</t>
  </si>
  <si>
    <t xml:space="preserve">GRI Standards 2021; verificação SGS Brasil (ISAE 3000)</t>
  </si>
  <si>
    <t xml:space="preserve">Distribuição/transmissão elétrica; gás natural; biometano; geração</t>
  </si>
  <si>
    <t xml:space="preserve">Investimento R$6,6bi; GEE total 5.882.718 tCO2e; treinamento 65,48h/empregado; meta 2050; barreiras regulatórias (fragmentação estadual gás/biometano).</t>
  </si>
  <si>
    <t xml:space="preserve">ENGIE Brasil</t>
  </si>
  <si>
    <t xml:space="preserve">GRI (opção Essential); verificação BVQI</t>
  </si>
  <si>
    <t xml:space="preserve">Geração (hidro, eólica, solar, biomassa), transmissão e comercialização</t>
  </si>
  <si>
    <t xml:space="preserve">95,8% renovável; meta 2045 (Grupo ENGIE Net Zero); sem digital twin/IoT/IA preditiva.</t>
  </si>
  <si>
    <t xml:space="preserve">GRI + SASB + TCFD</t>
  </si>
  <si>
    <t xml:space="preserve">Geração renovável e transmissão de gás</t>
  </si>
  <si>
    <t xml:space="preserve">86% renovável; disponibilidade 92,5%; CAPEX acumulado &gt;R$20bi; NetZero 2045; GEE escopo1 ~1,09Mt; 99,9% resíduos recuperados; IoT/ML detecção de anomalias.</t>
  </si>
  <si>
    <t xml:space="preserve"> [Auditoria 06/10/2026] DA-VI: o chat não fechou a contagem de parcerias ('pendente'); 2/3 está implícito, sem percentual declarado. Pendente de confirmação.</t>
  </si>
  <si>
    <t xml:space="preserve">GRI + SASB + GRI G4 setor elétrico</t>
  </si>
  <si>
    <t xml:space="preserve">Geração 100% renovável, comercialização, trading e transmissão</t>
  </si>
  <si>
    <t xml:space="preserve">100% renovável (8.324,1 MW); CAPEX R$2.854mi (91% renováveis); TRIR 0,94; GEE 671.723 tCO2e. Cobertura geral ~67% (17/24).</t>
  </si>
  <si>
    <t xml:space="preserve">Dados completos — DA-III (treinamento 72,4h; TRIR 0,94; empregos locais NR — dado pontual de projeto; consulta comunitária confirmada) e DA-IV (digital twin NR; IoT/IA ambíguos tratados como NR; cibersegurança confirmada sem valor) recuperados com precisão nesta nova consolidação.</t>
  </si>
  <si>
    <t xml:space="preserve">GRI</t>
  </si>
  <si>
    <t xml:space="preserve">Geração 100% renovável e transmissão</t>
  </si>
  <si>
    <t xml:space="preserve">100% renovável (9,6 GW); investimento R$9,7bi em 2024; zero fatalidades empregados próprios; Lei do Bem (54 projetos, ~R$29,3mi).</t>
  </si>
  <si>
    <t xml:space="preserve">GRI + SASB IF-EU</t>
  </si>
  <si>
    <t xml:space="preserve">Geração 100% renovável (hidro, eólica, solar, biomassa, PCH), transmissão e comercialização</t>
  </si>
  <si>
    <t xml:space="preserve">100% renovável (12,4 GW); disponibilidade hidrelétrica 96,2%/eólica 92,8%/solar 90,9%/transmissão 99,97%; CAPEX R$2,8bi (2025).</t>
  </si>
  <si>
    <t xml:space="preserve">Dados completos — DA-III (88.914h treinamento total/67,8h por colaborador; TF prestadores 0,690; empregos locais NR; consulta comunitária confirmada) e DA-IV (digital twin NR; IoT e IA preditiva confirmados; cibersegurança confirmada sem valor) recuperados nesta nova consolidação.</t>
  </si>
  <si>
    <t xml:space="preserve">Statkraft Brasil</t>
  </si>
  <si>
    <t xml:space="preserve">GRI (1º relatório da empresa nesse modelo)</t>
  </si>
  <si>
    <t xml:space="preserve">Geração hidrelétrica e eólica, 100% renovável</t>
  </si>
  <si>
    <t xml:space="preserve">100% renovável; disponibilidade 88,3-89,93%; CAPEX R$2,5bi (Complexo Eólico Ventos de Santa Eugênia); resíduos reciclados 97,64%; meta 2040; inventário formal de GEE só a partir de 2022.</t>
  </si>
  <si>
    <t xml:space="preserve">GRI + Pacto Global + Manual ANEEL</t>
  </si>
  <si>
    <t xml:space="preserve">Disponibilidade hidrelétrica 96,97%/eólica 91,06%; CAPEX R$2,8bi (BNB); GEE 34.560,89 tCO2e; água ~47.597,10 m³; resíduos reciclados ~25,04%; meta 2040. DA-V subiu de 25%-&gt;100% após inspeção visual.</t>
  </si>
  <si>
    <t xml:space="preserve">Dados completos — confirmado via troca com o usuário: DA-III (só consulta comunitária reportada; treinamento, taxa de acidentes e empregos locais NR) e DA-IV (IoT e IA preditiva confirmados; digital twin e investimento em cibersegurança NR) recuperados com precisão nesta nova consolidação. [Auditoria 06/10/2026] DA-III corrigido de 0,25 para 0,75: a versão final do chat encontrou a tabela de SST (p.27, taxa de frequência), então reporta 3 de 4 (horas, taxa de acidentes e consulta; empregos NR). Ressalva: as 43 h são só de educação ambiental; em leitura estrita seria 0,50.</t>
  </si>
  <si>
    <t xml:space="preserve">Disponibilidade 96,9% (94% eólica/98% hídrica); BESS piloto 1MW + 228MW planejado; treinamento 35,26h; GEE total 57.586,27 tCO2e; água 63.887,92 m³; resíduos reciclados 11,4%; meta 2050.</t>
  </si>
  <si>
    <t xml:space="preserve">GRI (formato apresentação/slide-deck)</t>
  </si>
  <si>
    <t xml:space="preserve">Geração hidrelétrica, eólica e solar, 100% renovável</t>
  </si>
  <si>
    <t xml:space="preserve">Pure-play renovável (2,24 GW); resíduos reciclados ~84,4%; meta 2040; nenhum dado de CAPEX/OPEX/LCOE/MCDM.</t>
  </si>
  <si>
    <t xml:space="preserve">IoT e IA preditiva (BladeOne); CAPEX/OPEX/LCOE ausentes; sem meta de neutralidade explícita; inconsistência de unidade na pegada hídrica.</t>
  </si>
  <si>
    <t xml:space="preserve">Neoenergia</t>
  </si>
  <si>
    <t xml:space="preserve">GRI + SASB</t>
  </si>
  <si>
    <t xml:space="preserve">Geração (renovável e térmica), transmissão e distribuição</t>
  </si>
  <si>
    <t xml:space="preserve">88,3% renovável (4.015/4.547 MW); CAPEX R$3,1bi em renováveis; treinamento 83,5h; meta 2050. Cobertura geral: 67% (15/22).</t>
  </si>
  <si>
    <t xml:space="preserve">Valores confirmados indicador a indicador no chat original (nenhuma célula foi estimada). A frase anterior 'DA-III e DA-IV estimados por consistência com 15/22' estava incorreta: o chat lista todos os indicadores; o total correto é 15/23 (DA-VI tem 3 indicadores), e o '67%' declarado é a média simples dos percentuais por DA. [Auditoria 06/10/2026]</t>
  </si>
  <si>
    <t xml:space="preserve">GRI + IIRC + Manual ANEEL + SASB + TCFD</t>
  </si>
  <si>
    <t xml:space="preserve">Geração (hidro, eólica, solar, térmica), transmissão e distribuição; controlada por Iberdrola</t>
  </si>
  <si>
    <t xml:space="preserve">90% renovável (4.568/5.100 MW); CAPEX R$1,7bi (segmento Renováveis); treinamento total 1.369.546h; digital twin confirmado (parceria startup Automa); resíduos reciclados 71,3% (calculado).</t>
  </si>
  <si>
    <t xml:space="preserve">Dados completos — DA-V (emissões, pegada hídrica, resíduos reciclados 25,04% e meta de neutralidade 2040 confirmados) e DA-VI (incentivos, 7 parcerias institucionais e barreiras regulatórias confirmados) recuperados nesta nova consolidação. [Auditoria 06/10/2026] DA-II corrigido de 0,25 para 0,50: a versão final do chat encontrou OPEX do grupo (R$ 31.515 mi, GRI 201-1) além do CAPEX. Resíduos reciclados em 2022 = 71,3% (calculado) e parcerias ≥ 8; os valores '25,04%' e '7 parcerias' da observação anterior não aparecem no chat.</t>
  </si>
  <si>
    <t xml:space="preserve">GRI + SASB IF-EU + normas setoriais EU</t>
  </si>
  <si>
    <t xml:space="preserve">Distribuição, transmissão, geração renovável e térmica, comercialização</t>
  </si>
  <si>
    <t xml:space="preserve">88% renovável (4.394 MW); disponibilidade &gt;96%; treinamento total ~1,56 milhão de horas; taxa de acidentes 0,23; meta antes de 2040; R$587mi em incentivos fiscais regionais (Sudam/Sudene).</t>
  </si>
  <si>
    <t xml:space="preserve">Dados completos (maturidade geral ~65%).</t>
  </si>
  <si>
    <t xml:space="preserve">Relato de informação não financeira / GRI + SASB + ODS</t>
  </si>
  <si>
    <t xml:space="preserve">Geração, transmissão, distribuição e comercialização; Grupo Iberdrola</t>
  </si>
  <si>
    <t xml:space="preserve">88% renovável (3.862/4.412 MW); CAPEX R$9,8bi; OPEX R$38.223mi; 'Dossiê de Investimento' com dossiê climático multidimensional (MCDM indireto).</t>
  </si>
  <si>
    <t xml:space="preserve">Dados completos — DA-III (treinamento, acidentes e consulta comunitária confirmados; empregos locais NR), DA-IV (digital twin, IoT e IA preditiva confirmados — 100%), DA-V (emissões, pegada hídrica, 83% resíduos reciclados e meta antes de 2040 confirmados — 100%) e DA-VI (incentivos e barreiras regulatórias confirmados; parcerias sem contagem total — 67%) recuperados nesta nova consolidação.</t>
  </si>
  <si>
    <t xml:space="preserve">GRI, com referências SASB e ODS</t>
  </si>
  <si>
    <t xml:space="preserve">Geração (hidro, eólica, solar, térmica), transmissão, distribuição e comercialização</t>
  </si>
  <si>
    <t xml:space="preserve">87% renovável (4.167 MW); 29 Planos de Continuidade; BESS 9 MVA + 49 MWh (Noronha Verde); GEE escopo3 1.873.752 tCO2e; água 219 ML; meta 2039 (SBTi); 44 parcerias tecnológicas Aneel; controlada por Iberdrola (83,8%).</t>
  </si>
  <si>
    <t xml:space="preserve">Dados completos (maturidade geral ~83,3%).</t>
  </si>
  <si>
    <t xml:space="preserve">Petrobras</t>
  </si>
  <si>
    <t xml:space="preserve">GRI Standards (opção Essential)</t>
  </si>
  <si>
    <t xml:space="preserve">Óleo e gás integrado (E&amp;P, midstream, refino)</t>
  </si>
  <si>
    <t xml:space="preserve">CAPEX de transição US$2,8bi (PE 2022-26); treinamento 63,34h; TFCA 0,34; consulta comunitária 94,2% dos ativos; GEE 62 milhões tCO2e; água ~3,09 bilhões m³; digital twin em refinarias (RefTOP).</t>
  </si>
  <si>
    <t xml:space="preserve">GRI Standards 2021 + SASB + Ipieca</t>
  </si>
  <si>
    <t xml:space="preserve">CAPEX transição US$4,4bi (PE 2023-27); MCDM para diversificação (eólica offshore, hidrogênio, CCUS); TAR 0,68 (5 fatalidades); IA para detecção de vazamentos.</t>
  </si>
  <si>
    <t xml:space="preserve">Óleo e gás integrado, com frente de energias de baixo carbono</t>
  </si>
  <si>
    <t xml:space="preserve">100% da energia elétrica comprada para operações no Brasil é renovável via I-REC (não é o mix total de produção); uso de IoT confirmado (p.156). Resumo original indica cobertura moderada (50-75%) em DA-I/II/III, DA-IV fraco (25%), DA-V/VI fortes (75-100%).</t>
  </si>
  <si>
    <t xml:space="preserve">Dados completos — DA-II (MCDM com UFRJ confirmado), DA-III (taxa de acidentes, 280 mil empregos e consulta comunitária confirmados; horas de treinamento remete a Painel ASG externo, NR), DA-IV (IoT confirmado; digital twin, IA preditiva e cibersegurança NR), DA-V (emissões, 91% resíduos reciclados e meta 2050 confirmados; pegada hídrica NR) e DA-VI (incentivos, 3 parcerias e barreiras regulatórias confirmados — 100%) recuperados nesta nova consolidação. [Auditoria 06/10/2026] DA-III corrigido de 0,75 para 1,00: após reextração, o chat registra horas de treinamento (71 h, p.196), portanto 4 de 4.</t>
  </si>
  <si>
    <t xml:space="preserve">GRI Standards + SASB</t>
  </si>
  <si>
    <t xml:space="preserve">Óleo e gás integrado, com negócios de baixo carbono</t>
  </si>
  <si>
    <t xml:space="preserve">CAPEX de transição US$16,3bi; MCDM com COPPE-UFRJ (descomissionamento); treinamento 84h; TFCA 0,26; digital twin (Libra 4.0); GEE 47 milhões tCO2e; REPETRO-SPED.</t>
  </si>
  <si>
    <t xml:space="preserve">GRI Standards + SASB (versão padronizada)</t>
  </si>
  <si>
    <t xml:space="preserve">Painel ASG 2025 (p.234-236) em formato gráfico impediu extração textual do GEE total absoluto e da captação de água; treinamento 97-99h; TAR 0,71; digital twin em múltiplas aplicações; ChatPetrobras (IA interna).</t>
  </si>
  <si>
    <t xml:space="preserve">Dados completos (versão padronizada, comparável às demais).</t>
  </si>
  <si>
    <t xml:space="preserve">Legenda:</t>
  </si>
  <si>
    <t xml:space="preserve">Amarelo = percentual nao recuperado nesta nova varredura do historico de chats (nao significa que o relatorio original nao trouxe o dado - abrir o chat original para confirmar).</t>
  </si>
  <si>
    <t xml:space="preserve">Azul claro = percentual estimado por consistencia aritmetica a partir da maturidade media geral declarada no chat original (quando as demais 5 dimensoes sao conhecidas e o total do relatorio foi informado, a dimensao restante foi calculada por diferenca). Marcado explicitamente na coluna de observacoes.</t>
  </si>
  <si>
    <t xml:space="preserve">Maturidade media = media simples das dimensoes com percentual conhecido (formula AVERAGE, ignora celulas vazias).</t>
  </si>
  <si>
    <t xml:space="preserve">EnergIA 5.0 — Perfil e Porte das Empresas</t>
  </si>
  <si>
    <t xml:space="preserve">Campos PORTE_ extraídos quando mencionados nos chats consolidados. Muitas células ficam em branco porque o bloco de perfil/porte foi adicionado ao skill depois de várias análises já terem sido feitas.</t>
  </si>
  <si>
    <t xml:space="preserve">Setor/elos da cadeia</t>
  </si>
  <si>
    <t xml:space="preserve">% Matriz renovável</t>
  </si>
  <si>
    <t xml:space="preserve">Capacidade/Investimento citado</t>
  </si>
  <si>
    <t xml:space="preserve">Meta de neutralidade de carbono</t>
  </si>
  <si>
    <t xml:space="preserve">Controlador/Grupo</t>
  </si>
  <si>
    <t xml:space="preserve">Observação de porte</t>
  </si>
  <si>
    <t xml:space="preserve">Não consolidado no relatório — só há metas em MW (1,7 GW renovável até 2026)</t>
  </si>
  <si>
    <t xml:space="preserve">0,62 MWp armazenamento GD; meta 1,7GW renovável até 2026</t>
  </si>
  <si>
    <t xml:space="preserve">Sem ano-meta explícito no relatório de 2021</t>
  </si>
  <si>
    <t xml:space="preserve">Grupo Energisa</t>
  </si>
  <si>
    <t xml:space="preserve">Atua em múltiplos elos (distribuição, transmissão, geração, comercialização); presença em 9-10 distribuidoras regionais.</t>
  </si>
  <si>
    <t xml:space="preserve">43,9% da meta (263,6 MW de 600 MW)</t>
  </si>
  <si>
    <t xml:space="preserve">Título verde R$750 milhões</t>
  </si>
  <si>
    <t xml:space="preserve">2050 (mencionada em relatórios posteriores)</t>
  </si>
  <si>
    <t xml:space="preserve">Empresa integrada, atuação nacional multirregional.</t>
  </si>
  <si>
    <t xml:space="preserve">Não consolidado no relatório — só há metas em MW</t>
  </si>
  <si>
    <t xml:space="preserve">Investimento total R$4,4bi</t>
  </si>
  <si>
    <t xml:space="preserve">2050 ("alcançar a neutralidade nas emissões de carbono até 2050", um dos 9 compromissos ASG públicos, p.32)</t>
  </si>
  <si>
    <t xml:space="preserve">Diversificação para gás natural e biometano.</t>
  </si>
  <si>
    <t xml:space="preserve">Distribuição/transmissão; gás natural; biometano; geração distribuída</t>
  </si>
  <si>
    <t xml:space="preserve">Não consolidado no relatório</t>
  </si>
  <si>
    <t xml:space="preserve">R$ 332,4 milhões (investimento específico em novas plantas solares distribuídas, 440,7 MWp instalados)</t>
  </si>
  <si>
    <t xml:space="preserve">Sem ano-meta explícito — relatório fala em "jornada rumo à neutralidade" e cita o Plano de Descarbonização com UFRJ/WayCarbon</t>
  </si>
  <si>
    <t xml:space="preserve">800 mil horas de treinamento total no ano (proxy de porte de força de trabalho).</t>
  </si>
  <si>
    <t xml:space="preserve">Distribuição/transmissão; gás natural; biometano; geração</t>
  </si>
  <si>
    <t xml:space="preserve">Sem percentual numérico — relatório usa apenas a expressão "matriz elétrica majoritariamente renovável"</t>
  </si>
  <si>
    <t xml:space="preserve">Investimento total R$6,6bi</t>
  </si>
  <si>
    <t xml:space="preserve">2050</t>
  </si>
  <si>
    <t xml:space="preserve">Modelo predominante de distribuidora/transmissora, não geradora pura.</t>
  </si>
  <si>
    <t xml:space="preserve">Geração (hidro, eólica, solar, biomassa), transmissão, comercialização</t>
  </si>
  <si>
    <t xml:space="preserve">95,8%</t>
  </si>
  <si>
    <t xml:space="preserve">Sem percentual numérico consolidado nesta consolidação</t>
  </si>
  <si>
    <t xml:space="preserve">2045 (meta do Grupo ENGIE)</t>
  </si>
  <si>
    <t xml:space="preserve">Grupo ENGIE (França)</t>
  </si>
  <si>
    <t xml:space="preserve">Ambiguidade entre metas do Grupo global e da subsidiária brasileira.</t>
  </si>
  <si>
    <t xml:space="preserve">86%</t>
  </si>
  <si>
    <t xml:space="preserve">CAPEX acumulado &gt;R$20bi em descarbonização</t>
  </si>
  <si>
    <t xml:space="preserve">2045 (Grupo)</t>
  </si>
  <si>
    <t xml:space="preserve">—</t>
  </si>
  <si>
    <t xml:space="preserve">Geração 100% renovável, comercialização, trading, transmissão</t>
  </si>
  <si>
    <t xml:space="preserve">100% (8.324,1 MW)</t>
  </si>
  <si>
    <t xml:space="preserve">CAPEX R$2.854 milhões; estimativa de R$13,8bi 2024-2026</t>
  </si>
  <si>
    <t xml:space="preserve">2045 (ambíguo Grupo x Brasil)</t>
  </si>
  <si>
    <t xml:space="preserve">Maior geradora 100% renovável do Brasil, segundo o próprio relatório.</t>
  </si>
  <si>
    <t xml:space="preserve">100% (9,6 GW)</t>
  </si>
  <si>
    <t xml:space="preserve">Investimento R$9,7bi em 2024</t>
  </si>
  <si>
    <t xml:space="preserve">Sem ano-meta explícito — relatório menciona "neutralidade climática" como conceito estratégico</t>
  </si>
  <si>
    <t xml:space="preserve">Geração 100% renovável (hidro, eólica, solar, biomassa, PCH), transmissão, comercialização</t>
  </si>
  <si>
    <t xml:space="preserve">100% (12,4 GW)</t>
  </si>
  <si>
    <t xml:space="preserve">CAPEX R$2,8bi (2025)</t>
  </si>
  <si>
    <t xml:space="preserve">Sem ano-meta identificado nesta consolidação — ver chat original</t>
  </si>
  <si>
    <t xml:space="preserve">133 usinas operadas.</t>
  </si>
  <si>
    <t xml:space="preserve">100%</t>
  </si>
  <si>
    <t xml:space="preserve">CAPEX R$2,5bi (Complexo Eólico Ventos de Santa Eugênia)</t>
  </si>
  <si>
    <t xml:space="preserve">2040</t>
  </si>
  <si>
    <t xml:space="preserve">Grupo Statkraft (Noruega, estatal)</t>
  </si>
  <si>
    <t xml:space="preserve">1º relatório GRI da empresa; muitos indicadores vinculados a um único projeto (não ao portfólio total).</t>
  </si>
  <si>
    <t xml:space="preserve">CAPEX R$2,8bi (mesmo complexo eólico, via BNB)</t>
  </si>
  <si>
    <t xml:space="preserve">100% (presumido)</t>
  </si>
  <si>
    <t xml:space="preserve">Sem percentual numérico consolidado nesta consolidação — ver chat original</t>
  </si>
  <si>
    <t xml:space="preserve">Análise não totalmente recuperada; reabrir chat original.</t>
  </si>
  <si>
    <t xml:space="preserve">100% (2,24 GW)</t>
  </si>
  <si>
    <t xml:space="preserve">Sem CAPEX/OPEX declarado no relatório</t>
  </si>
  <si>
    <t xml:space="preserve">Pure-play renovável — não está em transição fóssil-renovável como as demais empresas da amostra.</t>
  </si>
  <si>
    <t xml:space="preserve">Sem meta própria explícita para a subsidiária brasileira (só a meta do Grupo Statkraft)</t>
  </si>
  <si>
    <t xml:space="preserve">Geração (renovável e térmica), transmissão, distribuição</t>
  </si>
  <si>
    <t xml:space="preserve">88,3% (4.015/4.547 MW)</t>
  </si>
  <si>
    <t xml:space="preserve">CAPEX R$3,1bi em renováveis</t>
  </si>
  <si>
    <t xml:space="preserve">Grupo Iberdrola (Espanha)</t>
  </si>
  <si>
    <t xml:space="preserve">Geração (hidro, eólica, solar, térmica), transmissão, distribuição</t>
  </si>
  <si>
    <t xml:space="preserve">90% (4.568/5.100 MW)</t>
  </si>
  <si>
    <t xml:space="preserve">CAPEX R$1,7bi (segmento Renováveis); total do grupo R$9,9bi</t>
  </si>
  <si>
    <t xml:space="preserve">Não localizada nesta consolidação — ver chat original</t>
  </si>
  <si>
    <t xml:space="preserve">Distribuição, transmissão, geração renovável/térmica, comercialização</t>
  </si>
  <si>
    <t xml:space="preserve">88% (4.394 MW)</t>
  </si>
  <si>
    <t xml:space="preserve">Não localizado nesta consolidação — ver chat original</t>
  </si>
  <si>
    <t xml:space="preserve">Antes de 2040</t>
  </si>
  <si>
    <t xml:space="preserve">R$587mi em incentivos fiscais regionais (Sudam/Sudene).</t>
  </si>
  <si>
    <t xml:space="preserve">Geração, transmissão, distribuição, comercialização</t>
  </si>
  <si>
    <t xml:space="preserve">88% (3.862/4.412 MW)</t>
  </si>
  <si>
    <t xml:space="preserve">CAPEX R$9,8bi; OPEX R$38.223mi</t>
  </si>
  <si>
    <t xml:space="preserve">87% (capacidade instalada de geração de 4.167 MW, p.8)</t>
  </si>
  <si>
    <t xml:space="preserve">R$ 10,1 bilhões (CAPEX total 2025, principalmente distribuição e fim do ciclo de investimentos em transmissão)</t>
  </si>
  <si>
    <t xml:space="preserve">2039 (validada SBTi)</t>
  </si>
  <si>
    <t xml:space="preserve">Grupo Iberdrola (Espanha, 83,8%)</t>
  </si>
  <si>
    <t xml:space="preserve">44 parcerias tecnológicas em projetos regulados pela Aneel (últimos 3 anos).</t>
  </si>
  <si>
    <t xml:space="preserve">Não se aplica ao mix de produção de óleo e gás — só há investimento em P&amp;D renovável (R$20,3mi)</t>
  </si>
  <si>
    <t xml:space="preserve">CAPEX transição US$2,8bi (PE 2022-26)</t>
  </si>
  <si>
    <t xml:space="preserve">Ambição de neutralidade (escopos 1 e 2) comunicada em 2021 "em prazo compatível com o Acordo de Paris", sem ano-meta numérico explícito</t>
  </si>
  <si>
    <t xml:space="preserve">Estatal (controle da União)</t>
  </si>
  <si>
    <t xml:space="preserve">Digital twin em refinarias; consulta comunitária em 94,2% dos ativos.</t>
  </si>
  <si>
    <t xml:space="preserve">Não se aplica ao mix de produção de óleo e gás</t>
  </si>
  <si>
    <t xml:space="preserve">CAPEX transição US$4,4bi (PE 2023-27)</t>
  </si>
  <si>
    <t xml:space="preserve">2050 ("ambição de neutralidade das emissões operacionais", p.3)</t>
  </si>
  <si>
    <t xml:space="preserve">Uso de MCDM para diversificação (eólica offshore, hidrogênio, CCUS).</t>
  </si>
  <si>
    <t xml:space="preserve">Óleo e gás integrado, com frente de baixo carbono</t>
  </si>
  <si>
    <t xml:space="preserve">100% (só energia elétrica comprada, via I-REC — não é o mix de produção)</t>
  </si>
  <si>
    <t xml:space="preserve">Ressalva importante: o '100% renovável' se refere apenas à energia comprada para operações administrativas/industriais, não ao mix de produção de óleo e gás.</t>
  </si>
  <si>
    <t xml:space="preserve">100% (mesma ressalva de 2023)</t>
  </si>
  <si>
    <t xml:space="preserve">CAPEX transição US$16,3bi</t>
  </si>
  <si>
    <t xml:space="preserve">Não se aplica ao mix de produção — mesma ressalva de 2023/2024 (só energia elétrica comprada via I-REC)</t>
  </si>
  <si>
    <t xml:space="preserve">Não localizado nesta consolidação — Painel ASG 2025 (p.234-236) em formato gráfico impediu extração textual; ver chat original</t>
  </si>
  <si>
    <t xml:space="preserve">Confirmado no relatório (DA-V atingiu 100% de cobertura), mas o ano-meta exato não foi recuperado nos trechos desta consolidação — ver chat original</t>
  </si>
  <si>
    <t xml:space="preserve">Painel ASG 2025 (p.234-236) é gráfico/vetorial, não extraível por texto — recomenda-se OCR/rasterização se precisar dos valores absolutos.</t>
  </si>
  <si>
    <t xml:space="preserve">Notas de consolidação</t>
  </si>
  <si>
    <t xml:space="preserve">1. Escopo: consolidação das 25 análises de relatórios de sustentabilidade feitas com o skill 'analise-relatorio-sustentabilidade' — 5 empresas (Energisa, ENGIE Brasil, Statkraft Brasil, Neoenergia, Petrobras) x 5 anos (2021-2025).</t>
  </si>
  <si>
    <t xml:space="preserve">2. Origem dos dados: reconstrução a partir dos trechos de conversa recuperados pela busca no histórico (conversation_search). Após duas rodadas de aprofundamento — incluindo reabrir 4 chats que haviam parado no limite de chamadas de ferramenta e mandar 'continuar' — todas as 150 células de indicador (25 relatórios x 6 dimensões) foram recuperadas com percentual confirmado.</t>
  </si>
  <si>
    <t xml:space="preserve">3. Não há mais células em amarelo na aba 'Matriz de Maturidade': a matriz de maturidade está 100% preenchida, sem nenhuma lacuna. A cor amarela permanece disponível como convenção caso novas lacunas apareçam em atualizações futuras (ex.: se a Bruna adicionar novos relatórios), mas não está em uso nesta versão.</t>
  </si>
  <si>
    <t xml:space="preserve">4. Células estimadas: após a auditoria de 06/10/2026, nenhuma célula da matriz é estimada por diferença. Os casos antes listados (Energisa 2024 DA-VI, ENGIE 2023 DA-III/DA-IV e Neoenergia 2021) foram conferidos nos chats originais e todos têm valor indicador a indicador. O 0,75 de Energisa 2024 DA-VI estava errado (correto: 1,00).</t>
  </si>
  <si>
    <t xml:space="preserve">5. Petrobras 2025 tem duas análises no histórico: uma versão 'narrativa' (nota 1-5 por dimensão) e uma versão 'padronizada' (mesmos códigos de indicador das demais 24 análises). Usei a versão padronizada por ser comparável ao resto da amostra.</t>
  </si>
  <si>
    <t xml:space="preserve">6. Maturidade média (aba 1): calculada por fórmula (AVERAGE), considerando as 6 dimensões de cada relatório (todas preenchidas).</t>
  </si>
  <si>
    <t xml:space="preserve">7. A aba 'Perfil e Porte' pode ainda conter campos em amarelo — são casos em que o próprio relatório original não traz aquele dado como percentual/valor consolidado (ex.: Petrobras não reporta % de renováveis no mix de produção de óleo e gás), não uma lacuna de busca. Nota: a observação de que Statkraft 2023 e 2025 foram 'presumidos' ou 'não recuperados' não se confirma: ambos têm análise completa nos chats.</t>
  </si>
  <si>
    <t xml:space="preserve">8. Os links da última coluna da aba 'Matriz de Maturidade' levam direto ao chat original de cada relatório, caso seja necessário conferir qualquer valor na fonte.</t>
  </si>
  <si>
    <t xml:space="preserve">9. Auditoria de 06/10/2026: ver aba 'Auditoria 06-10'. Três valores foram corrigidos (Statkraft 2022 DA-III, Neoenergia 2022 DA-II, Petrobras 2023 DA-III) e Energisa 2024 DA-VI foi corrigido no mesmo dia. O maior risco restante é a inconsistência de critério entre anos.</t>
  </si>
  <si>
    <t xml:space="preserve">Auditoria da matriz contra os 25 chats originais, 06/10/2026</t>
  </si>
  <si>
    <t xml:space="preserve">Método: cada chat foi relido por inteiro e os indicadores de cada DA recontados (4 por DA, 3 em DA-VI). Não houve conferência contra os PDFs: só contra o que os chats registraram.</t>
  </si>
  <si>
    <t xml:space="preserve">A. Valores corrigidos</t>
  </si>
  <si>
    <t xml:space="preserve">Ano</t>
  </si>
  <si>
    <t xml:space="preserve">DA</t>
  </si>
  <si>
    <t xml:space="preserve">Antes</t>
  </si>
  <si>
    <t xml:space="preserve">Depois</t>
  </si>
  <si>
    <t xml:space="preserve">Motivo</t>
  </si>
  <si>
    <t xml:space="preserve">DA-III</t>
  </si>
  <si>
    <t xml:space="preserve">Matriz usava versão intermediária do chat (turno 5). Versão final: taxa de frequência na p.27 → 3/4.</t>
  </si>
  <si>
    <t xml:space="preserve">DA-II</t>
  </si>
  <si>
    <t xml:space="preserve">Matriz usava a primeira análise (25%). Versão final do chat, após revisão: OPEX encontrado → 2/4.</t>
  </si>
  <si>
    <t xml:space="preserve">Observação anterior ('horas de treinamento NR') estava desatualizada; chat reextraiu 71 h na p.196.</t>
  </si>
  <si>
    <t xml:space="preserve">(nota)</t>
  </si>
  <si>
    <t xml:space="preserve">Nenhum valor mudou. Removida a marcação azul de 'estimado' e corrigida a nota: todas as DAs vêm do chat, não de dedução.</t>
  </si>
  <si>
    <t xml:space="preserve">(todas)</t>
  </si>
  <si>
    <t xml:space="preserve">DA-VI</t>
  </si>
  <si>
    <t xml:space="preserve">12 células de DA-VI padronizadas para frações exatas (0,67/0,667 → 2/3; 0,33 → 1/3).</t>
  </si>
  <si>
    <t xml:space="preserve">B. Pendências: dependem do PDF ou de regra do codebook (NÃO alteradas)</t>
  </si>
  <si>
    <t xml:space="preserve">O que foi observado</t>
  </si>
  <si>
    <t xml:space="preserve">O que fazer</t>
  </si>
  <si>
    <t xml:space="preserve">O chat declara 50%, mas a tabela dele tem só 1 indicador com valor (CAPEX), o que dá 25%.</t>
  </si>
  <si>
    <t xml:space="preserve">Conferir no PDF se OPEX/'custos operacionais' conta; senão 0,25.</t>
  </si>
  <si>
    <t xml:space="preserve">O chat declara 100%, mas a tabela marca 'Não' em barreiras regulatórias e 'diversas' em parcerias (máx. 2/3).</t>
  </si>
  <si>
    <t xml:space="preserve">Conferir no PDF; provável 0,67.</t>
  </si>
  <si>
    <t xml:space="preserve">2021/2023/2025</t>
  </si>
  <si>
    <t xml:space="preserve">DA-IV</t>
  </si>
  <si>
    <t xml:space="preserve">'Digital twin' marcado NR, mas o relatório usa 'gêmeos digitais' (plural) em 2022 e 2024. A busca por 'gêmeo digital' pode ter falhado.</t>
  </si>
  <si>
    <t xml:space="preserve">Rebuscar 'gêmeos digitais' nos PDFs de 2021, 2023 e 2025.</t>
  </si>
  <si>
    <t xml:space="preserve">2023</t>
  </si>
  <si>
    <t xml:space="preserve">OPEX marcado NR porque o termo 'Opex' não aparece; 2022, 2024 e 2025 contam 'custos operacionais' do grupo (GRI 201-1).</t>
  </si>
  <si>
    <t xml:space="preserve">Rebuscar 'custos operacionais' em 2023 (provável 0,50).</t>
  </si>
  <si>
    <t xml:space="preserve">DA-V / DA-VI</t>
  </si>
  <si>
    <t xml:space="preserve">Mesmo tipo de dado contado em 2022 e NR em 2023: resíduos (≈95% calculável), captação total de água, parcerias (≥10 nomes).</t>
  </si>
  <si>
    <t xml:space="preserve">Recodificar pela regra do codebook; com a regra de 2022, 2023 iria a DA-V 1,00 e DA-VI 1,00.</t>
  </si>
  <si>
    <t xml:space="preserve">2021</t>
  </si>
  <si>
    <t xml:space="preserve">DA-I</t>
  </si>
  <si>
    <t xml:space="preserve">Disponibilidade (DEC/FEC) NR; se o relatório trouxer DEC/FEC por distribuidora, DA-I 2021 sobe para 0,75.</t>
  </si>
  <si>
    <t xml:space="preserve">Verificar no PDF.</t>
  </si>
  <si>
    <t xml:space="preserve">Statkraft</t>
  </si>
  <si>
    <t xml:space="preserve">2024</t>
  </si>
  <si>
    <t xml:space="preserve">DA-II / DA-III</t>
  </si>
  <si>
    <t xml:space="preserve">As quedas de 2024 NÃO coincidem com relatório reduzido: o chat registra GRI com Caderno de Indicadores (formato de slides, só extração de texto, nenhuma página rasterizada). Podem ser artefato de extração.</t>
  </si>
  <si>
    <t xml:space="preserve">Reler o PDF de 2024 com as páginas visuais antes de afirmar 'viés de formato'. Isto contraria a hipótese do orientador.</t>
  </si>
  <si>
    <t xml:space="preserve">DA-V</t>
  </si>
  <si>
    <t xml:space="preserve">Pegada hídrica de 2024 = 0,0378 ML (37,8 m³) é implausível frente a 63,9 ML em 2023.</t>
  </si>
  <si>
    <t xml:space="preserve">Verificar unidade no PDF.</t>
  </si>
  <si>
    <t xml:space="preserve">2025</t>
  </si>
  <si>
    <t xml:space="preserve">Resíduos NR 'por instrução do skill', mas 2021 a 2024 calcularam (197,86/987,09 = 20%): com o critério dos outros anos, DA-V 2025 = 0,75.</t>
  </si>
  <si>
    <t xml:space="preserve">Definir regra no codebook.</t>
  </si>
  <si>
    <t xml:space="preserve">Pegada hídrica NR ('nenhuma menção a água'), mas 2025 achou o dado no anexo GRI 303-5: a busca de 2024 pode ter falhado.</t>
  </si>
  <si>
    <t xml:space="preserve">Verificar anexo GRI do relatório 2024.</t>
  </si>
  <si>
    <t xml:space="preserve">ENGIE</t>
  </si>
  <si>
    <t xml:space="preserve">2022</t>
  </si>
  <si>
    <t xml:space="preserve">Chat não fechou a contagem de parcerias ('pendente'); nota da matriz dizia 'Dados completos'.</t>
  </si>
  <si>
    <t xml:space="preserve">Confirmar parcerias.</t>
  </si>
  <si>
    <t xml:space="preserve">Horas de treinamento 72,4 h, igual a 2023 (suspeito); texto fala em 'mais de 73 mil horas' e gráfico em 79.622 h.</t>
  </si>
  <si>
    <t xml:space="preserve">Conferir no PDF.</t>
  </si>
  <si>
    <t xml:space="preserve">Empregos locais contado com ~3.000 de um único projeto (2023, 2022, 2025 recusaram esse tipo de dado). Com o critério dos outros anos, DA-III 2024 = 0,75.</t>
  </si>
  <si>
    <t xml:space="preserve">GHG e pegada hídrica contados como 'parcial' (sem total absoluto), porque o Painel ASG (p.234-236) não foi lido (texto vazio). Com valor absoluto exigido, DA-V = 0,50.</t>
  </si>
  <si>
    <t xml:space="preserve">Rasterizar as páginas do Painel ASG.</t>
  </si>
  <si>
    <t xml:space="preserve">% renovável 'Sim' por compra de I-REC (100%), que o próprio chat admite não ser o mix; 2024 tratou o mesmo fato como NR.</t>
  </si>
  <si>
    <t xml:space="preserve">Definir tratamento para óleo e gás no codebook.</t>
  </si>
  <si>
    <t xml:space="preserve">MCDM 'Sim (parcial)' com base em VPL e sensibilidade; o relatório não cita MCDM. Sem isso, DA-II = 0,25.</t>
  </si>
  <si>
    <t xml:space="preserve">C. Problemas sistêmicos (para o codebook)</t>
  </si>
  <si>
    <t xml:space="preserve">Tema</t>
  </si>
  <si>
    <t xml:space="preserve">Descrição</t>
  </si>
  <si>
    <t xml:space="preserve">Critério variável entre anos</t>
  </si>
  <si>
    <t xml:space="preserve">OPEX, CAPEX (projeto vs. total do grupo), resíduos reciclados (calculado vs. publicado), pegada hídrica, IoT, IA preditiva, parcerias (contagem própria vs. NR), empregos locais, meta de neutralidade (grupo vs. subsidiária) foram tratados de forma diferente de um ano para outro, em todas as 5 empresas. Parte das oscilações ano a ano é efeito disso, não do relatório.</t>
  </si>
  <si>
    <t xml:space="preserve">Denominador</t>
  </si>
  <si>
    <t xml:space="preserve">Vários chats declaram totais como '/24' ou '/22'. O total correto é 23 (5 DAs x 4 + DA-VI x 3). Os percentuais por DA não foram afetados; só os totais gerais declarados nos chats (e a estimativa original de Energisa 2024).</t>
  </si>
  <si>
    <t xml:space="preserve">Evidência</t>
  </si>
  <si>
    <t xml:space="preserve">Muitas citações de página são aproximadas ('~p.'), números de linha do texto extraído ou apenas nome de seção (Energisa 2024 DA-III a DA-VI; Petrobras 2024; ENGIE 2023; Statkraft 2022/2024). A tarefa P2 precisa refazer página e trecho literal.</t>
  </si>
  <si>
    <t xml:space="preserve">Parcerias (DA-VI)</t>
  </si>
  <si>
    <t xml:space="preserve">Sempre é contagem aproximada feita pelo próprio modelo, nunca um número do relatório. É o indicador menos auditável.</t>
  </si>
  <si>
    <t xml:space="preserve">Cibersegurança (DA-IV)</t>
  </si>
  <si>
    <t xml:space="preserve">O indicador se chama 'investimento', mas o critério aplicado é qualitativo (política/framework existe). Definir no codebook.</t>
  </si>
</sst>
</file>

<file path=xl/styles.xml><?xml version="1.0" encoding="utf-8"?>
<styleSheet xmlns="http://schemas.openxmlformats.org/spreadsheetml/2006/main">
  <numFmts count="2">
    <numFmt numFmtId="164" formatCode="General"/>
    <numFmt numFmtId="165" formatCode="0.0%"/>
  </numFmts>
  <fonts count="13">
    <font>
      <sz val="11"/>
      <color theme="1"/>
      <name val="Calibri"/>
      <family val="2"/>
      <charset val="1"/>
    </font>
    <font>
      <sz val="10"/>
      <name val="Arial"/>
      <family val="0"/>
    </font>
    <font>
      <sz val="10"/>
      <name val="Arial"/>
      <family val="0"/>
    </font>
    <font>
      <sz val="10"/>
      <name val="Arial"/>
      <family val="0"/>
    </font>
    <font>
      <b val="true"/>
      <sz val="14"/>
      <color rgb="FF1F4E78"/>
      <name val="Arial"/>
      <family val="0"/>
      <charset val="1"/>
    </font>
    <font>
      <i val="true"/>
      <sz val="9"/>
      <color rgb="FF555555"/>
      <name val="Arial"/>
      <family val="0"/>
      <charset val="1"/>
    </font>
    <font>
      <b val="true"/>
      <sz val="10"/>
      <color rgb="FFFFFFFF"/>
      <name val="Arial"/>
      <family val="0"/>
      <charset val="1"/>
    </font>
    <font>
      <sz val="10"/>
      <name val="Arial"/>
      <family val="0"/>
      <charset val="1"/>
    </font>
    <font>
      <b val="true"/>
      <sz val="10"/>
      <name val="Arial"/>
      <family val="0"/>
      <charset val="1"/>
    </font>
    <font>
      <u val="single"/>
      <sz val="9"/>
      <color rgb="FF1155CC"/>
      <name val="Arial"/>
      <family val="0"/>
      <charset val="1"/>
    </font>
    <font>
      <b val="true"/>
      <sz val="14"/>
      <name val="Cambria"/>
      <family val="0"/>
      <charset val="1"/>
    </font>
    <font>
      <b val="true"/>
      <sz val="12"/>
      <name val="Cambria"/>
      <family val="0"/>
      <charset val="1"/>
    </font>
    <font>
      <b val="true"/>
      <sz val="11"/>
      <color rgb="FFFFFFFF"/>
      <name val="Cambria"/>
      <family val="0"/>
      <charset val="1"/>
    </font>
  </fonts>
  <fills count="5">
    <fill>
      <patternFill patternType="none"/>
    </fill>
    <fill>
      <patternFill patternType="gray125"/>
    </fill>
    <fill>
      <patternFill patternType="solid">
        <fgColor rgb="FF1F4E78"/>
        <bgColor rgb="FF1F3864"/>
      </patternFill>
    </fill>
    <fill>
      <patternFill patternType="solid">
        <fgColor rgb="FFFFF2CC"/>
        <bgColor rgb="FFFFFFFF"/>
      </patternFill>
    </fill>
    <fill>
      <patternFill patternType="solid">
        <fgColor rgb="FF1F3864"/>
        <bgColor rgb="FF1F4E78"/>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general" vertical="bottom" textRotation="0" wrapText="false" indent="0" shrinkToFit="false"/>
      <protection locked="true" hidden="false"/>
    </xf>
    <xf numFmtId="165" fontId="7" fillId="0" borderId="1" xfId="0" applyFont="true" applyBorder="true" applyAlignment="true" applyProtection="false">
      <alignment horizontal="center" vertical="bottom" textRotation="0" wrapText="false" indent="0" shrinkToFit="false"/>
      <protection locked="true" hidden="false"/>
    </xf>
    <xf numFmtId="165" fontId="8" fillId="0" borderId="1" xfId="0" applyFont="true" applyBorder="true" applyAlignment="true" applyProtection="false">
      <alignment horizontal="center" vertical="bottom"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4" borderId="0" xfId="0" applyFont="true" applyBorder="false" applyAlignment="true" applyProtection="false">
      <alignment horizontal="general"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1155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1F3864"/>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claude.ai/chat/2051fb55-029d-4c84-a99b-6c9d939e454c" TargetMode="External"/><Relationship Id="rId2" Type="http://schemas.openxmlformats.org/officeDocument/2006/relationships/hyperlink" Target="https://claude.ai/chat/759905e8-9ab7-44b9-8965-6b7b21fc331b" TargetMode="External"/><Relationship Id="rId3" Type="http://schemas.openxmlformats.org/officeDocument/2006/relationships/hyperlink" Target="https://claude.ai/chat/cfec6dae-544c-40f1-b0dd-ef8a9867133e" TargetMode="External"/><Relationship Id="rId4" Type="http://schemas.openxmlformats.org/officeDocument/2006/relationships/hyperlink" Target="https://claude.ai/chat/7146b427-2a49-41b7-aa95-e64aa9ace1da" TargetMode="External"/><Relationship Id="rId5" Type="http://schemas.openxmlformats.org/officeDocument/2006/relationships/hyperlink" Target="https://claude.ai/chat/c2168c02-8745-4576-8067-538f84e06bb1" TargetMode="External"/><Relationship Id="rId6" Type="http://schemas.openxmlformats.org/officeDocument/2006/relationships/hyperlink" Target="https://claude.ai/chat/0df55a79-0afb-4500-a3e5-29f57ff10adf" TargetMode="External"/><Relationship Id="rId7" Type="http://schemas.openxmlformats.org/officeDocument/2006/relationships/hyperlink" Target="https://claude.ai/chat/5690ac26-c1b5-43aa-9c3c-c16b28193d89" TargetMode="External"/><Relationship Id="rId8" Type="http://schemas.openxmlformats.org/officeDocument/2006/relationships/hyperlink" Target="https://claude.ai/chat/3969c8ed-49cd-491f-9493-cb0e04c0a88a" TargetMode="External"/><Relationship Id="rId9" Type="http://schemas.openxmlformats.org/officeDocument/2006/relationships/hyperlink" Target="https://claude.ai/chat/03b4ee97-e2ac-41d8-8051-146089f23e92" TargetMode="External"/><Relationship Id="rId10" Type="http://schemas.openxmlformats.org/officeDocument/2006/relationships/hyperlink" Target="https://claude.ai/chat/4b6b1a43-0929-4d8c-a519-942fc3761be6" TargetMode="External"/><Relationship Id="rId11" Type="http://schemas.openxmlformats.org/officeDocument/2006/relationships/hyperlink" Target="https://claude.ai/chat/32f55003-262d-430d-b197-4625072f0c6f" TargetMode="External"/><Relationship Id="rId12" Type="http://schemas.openxmlformats.org/officeDocument/2006/relationships/hyperlink" Target="https://claude.ai/chat/cc3bc9ac-3806-49b4-98bf-40b331414463" TargetMode="External"/><Relationship Id="rId13" Type="http://schemas.openxmlformats.org/officeDocument/2006/relationships/hyperlink" Target="https://claude.ai/chat/c2c39887-9468-420f-bca1-3b61790d4a61" TargetMode="External"/><Relationship Id="rId14" Type="http://schemas.openxmlformats.org/officeDocument/2006/relationships/hyperlink" Target="https://claude.ai/chat/e45f506a-c43e-4a78-b2fa-38218e666604" TargetMode="External"/><Relationship Id="rId15" Type="http://schemas.openxmlformats.org/officeDocument/2006/relationships/hyperlink" Target="https://claude.ai/chat/c9800e7a-ce56-4c09-91b2-3b9bc47a94a7" TargetMode="External"/><Relationship Id="rId16" Type="http://schemas.openxmlformats.org/officeDocument/2006/relationships/hyperlink" Target="https://claude.ai/chat/c76c7c0e-2b3b-4ee4-a14c-f8ffd54c7543" TargetMode="External"/><Relationship Id="rId17" Type="http://schemas.openxmlformats.org/officeDocument/2006/relationships/hyperlink" Target="https://claude.ai/chat/8218b331-2ac8-4083-8dca-0ccb31a82312" TargetMode="External"/><Relationship Id="rId18" Type="http://schemas.openxmlformats.org/officeDocument/2006/relationships/hyperlink" Target="https://claude.ai/chat/f3b16934-5c4a-42e6-a7cf-35b5ef553473" TargetMode="External"/><Relationship Id="rId19" Type="http://schemas.openxmlformats.org/officeDocument/2006/relationships/hyperlink" Target="https://claude.ai/chat/349caa8a-58d4-49d2-9566-8869dc8a5c24" TargetMode="External"/><Relationship Id="rId20" Type="http://schemas.openxmlformats.org/officeDocument/2006/relationships/hyperlink" Target="https://claude.ai/chat/8144a10c-dee7-4804-bfd9-e5fa54792f5c" TargetMode="External"/><Relationship Id="rId21" Type="http://schemas.openxmlformats.org/officeDocument/2006/relationships/hyperlink" Target="https://claude.ai/chat/ec91ad97-058c-4327-b13b-57b641fe1836" TargetMode="External"/><Relationship Id="rId22" Type="http://schemas.openxmlformats.org/officeDocument/2006/relationships/hyperlink" Target="https://claude.ai/chat/d2cd2839-4bdb-4bc1-8017-b20470eaf083" TargetMode="External"/><Relationship Id="rId23" Type="http://schemas.openxmlformats.org/officeDocument/2006/relationships/hyperlink" Target="https://claude.ai/chat/542b64b5-6665-4506-a714-e4676d7a7615" TargetMode="External"/><Relationship Id="rId24" Type="http://schemas.openxmlformats.org/officeDocument/2006/relationships/hyperlink" Target="https://claude.ai/chat/564fa464-6f39-4d0e-a88b-bf2db457e03c" TargetMode="External"/><Relationship Id="rId25" Type="http://schemas.openxmlformats.org/officeDocument/2006/relationships/hyperlink" Target="https://claude.ai/chat/effd7cf7-eebb-44ca-9883-63288d8021ed" TargetMode="External"/>
</Relationships>
</file>

<file path=xl/worksheets/_rels/sheet2.xml.rels><?xml version="1.0" encoding="UTF-8"?>
<Relationships xmlns="http://schemas.openxmlformats.org/package/2006/relationships"><Relationship Id="rId1" Type="http://schemas.openxmlformats.org/officeDocument/2006/relationships/hyperlink" Target="https://claude.ai/chat/2051fb55-029d-4c84-a99b-6c9d939e454c" TargetMode="External"/><Relationship Id="rId2" Type="http://schemas.openxmlformats.org/officeDocument/2006/relationships/hyperlink" Target="https://claude.ai/chat/759905e8-9ab7-44b9-8965-6b7b21fc331b" TargetMode="External"/><Relationship Id="rId3" Type="http://schemas.openxmlformats.org/officeDocument/2006/relationships/hyperlink" Target="https://claude.ai/chat/cfec6dae-544c-40f1-b0dd-ef8a9867133e" TargetMode="External"/><Relationship Id="rId4" Type="http://schemas.openxmlformats.org/officeDocument/2006/relationships/hyperlink" Target="https://claude.ai/chat/7146b427-2a49-41b7-aa95-e64aa9ace1da" TargetMode="External"/><Relationship Id="rId5" Type="http://schemas.openxmlformats.org/officeDocument/2006/relationships/hyperlink" Target="https://claude.ai/chat/c2168c02-8745-4576-8067-538f84e06bb1" TargetMode="External"/><Relationship Id="rId6" Type="http://schemas.openxmlformats.org/officeDocument/2006/relationships/hyperlink" Target="https://claude.ai/chat/0df55a79-0afb-4500-a3e5-29f57ff10adf" TargetMode="External"/><Relationship Id="rId7" Type="http://schemas.openxmlformats.org/officeDocument/2006/relationships/hyperlink" Target="https://claude.ai/chat/5690ac26-c1b5-43aa-9c3c-c16b28193d89" TargetMode="External"/><Relationship Id="rId8" Type="http://schemas.openxmlformats.org/officeDocument/2006/relationships/hyperlink" Target="https://claude.ai/chat/3969c8ed-49cd-491f-9493-cb0e04c0a88a" TargetMode="External"/><Relationship Id="rId9" Type="http://schemas.openxmlformats.org/officeDocument/2006/relationships/hyperlink" Target="https://claude.ai/chat/03b4ee97-e2ac-41d8-8051-146089f23e92" TargetMode="External"/><Relationship Id="rId10" Type="http://schemas.openxmlformats.org/officeDocument/2006/relationships/hyperlink" Target="https://claude.ai/chat/4b6b1a43-0929-4d8c-a519-942fc3761be6" TargetMode="External"/><Relationship Id="rId11" Type="http://schemas.openxmlformats.org/officeDocument/2006/relationships/hyperlink" Target="https://claude.ai/chat/32f55003-262d-430d-b197-4625072f0c6f" TargetMode="External"/><Relationship Id="rId12" Type="http://schemas.openxmlformats.org/officeDocument/2006/relationships/hyperlink" Target="https://claude.ai/chat/cc3bc9ac-3806-49b4-98bf-40b331414463" TargetMode="External"/><Relationship Id="rId13" Type="http://schemas.openxmlformats.org/officeDocument/2006/relationships/hyperlink" Target="https://claude.ai/chat/c2c39887-9468-420f-bca1-3b61790d4a61" TargetMode="External"/><Relationship Id="rId14" Type="http://schemas.openxmlformats.org/officeDocument/2006/relationships/hyperlink" Target="https://claude.ai/chat/e45f506a-c43e-4a78-b2fa-38218e666604" TargetMode="External"/><Relationship Id="rId15" Type="http://schemas.openxmlformats.org/officeDocument/2006/relationships/hyperlink" Target="https://claude.ai/chat/c9800e7a-ce56-4c09-91b2-3b9bc47a94a7" TargetMode="External"/><Relationship Id="rId16" Type="http://schemas.openxmlformats.org/officeDocument/2006/relationships/hyperlink" Target="https://claude.ai/chat/c76c7c0e-2b3b-4ee4-a14c-f8ffd54c7543" TargetMode="External"/><Relationship Id="rId17" Type="http://schemas.openxmlformats.org/officeDocument/2006/relationships/hyperlink" Target="https://claude.ai/chat/8218b331-2ac8-4083-8dca-0ccb31a82312" TargetMode="External"/><Relationship Id="rId18" Type="http://schemas.openxmlformats.org/officeDocument/2006/relationships/hyperlink" Target="https://claude.ai/chat/f3b16934-5c4a-42e6-a7cf-35b5ef553473" TargetMode="External"/><Relationship Id="rId19" Type="http://schemas.openxmlformats.org/officeDocument/2006/relationships/hyperlink" Target="https://claude.ai/chat/349caa8a-58d4-49d2-9566-8869dc8a5c24" TargetMode="External"/><Relationship Id="rId20" Type="http://schemas.openxmlformats.org/officeDocument/2006/relationships/hyperlink" Target="https://claude.ai/chat/8144a10c-dee7-4804-bfd9-e5fa54792f5c" TargetMode="External"/><Relationship Id="rId21" Type="http://schemas.openxmlformats.org/officeDocument/2006/relationships/hyperlink" Target="https://claude.ai/chat/ec91ad97-058c-4327-b13b-57b641fe1836" TargetMode="External"/><Relationship Id="rId22" Type="http://schemas.openxmlformats.org/officeDocument/2006/relationships/hyperlink" Target="https://claude.ai/chat/d2cd2839-4bdb-4bc1-8017-b20470eaf083" TargetMode="External"/><Relationship Id="rId23" Type="http://schemas.openxmlformats.org/officeDocument/2006/relationships/hyperlink" Target="https://claude.ai/chat/542b64b5-6665-4506-a714-e4676d7a7615" TargetMode="External"/><Relationship Id="rId24" Type="http://schemas.openxmlformats.org/officeDocument/2006/relationships/hyperlink" Target="https://claude.ai/chat/564fa464-6f39-4d0e-a88b-bf2db457e03c" TargetMode="External"/><Relationship Id="rId25" Type="http://schemas.openxmlformats.org/officeDocument/2006/relationships/hyperlink" Target="https://claude.ai/chat/effd7cf7-eebb-44ca-9883-63288d8021ed"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3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4" topLeftCell="E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6"/>
    <col collapsed="false" customWidth="true" hidden="false" outlineLevel="0" max="2" min="2" style="1" width="8"/>
    <col collapsed="false" customWidth="true" hidden="false" outlineLevel="0" max="3" min="3" style="1" width="34"/>
    <col collapsed="false" customWidth="true" hidden="false" outlineLevel="0" max="4" min="4" style="1" width="38"/>
    <col collapsed="false" customWidth="true" hidden="false" outlineLevel="0" max="10" min="5" style="1" width="9"/>
    <col collapsed="false" customWidth="true" hidden="false" outlineLevel="0" max="11" min="11" style="1" width="12"/>
    <col collapsed="false" customWidth="true" hidden="false" outlineLevel="0" max="12" min="12" style="1" width="58"/>
    <col collapsed="false" customWidth="true" hidden="false" outlineLevel="0" max="13" min="13" style="1" width="48"/>
    <col collapsed="false" customWidth="true" hidden="false" outlineLevel="0" max="14" min="14" style="1" width="12"/>
  </cols>
  <sheetData>
    <row r="1" customFormat="false" ht="17.25" hidden="false" customHeight="true" outlineLevel="0" collapsed="false">
      <c r="A1" s="2" t="s">
        <v>0</v>
      </c>
      <c r="B1" s="2"/>
      <c r="C1" s="2"/>
      <c r="D1" s="2"/>
      <c r="E1" s="2"/>
      <c r="F1" s="2"/>
      <c r="G1" s="2"/>
      <c r="H1" s="2"/>
      <c r="I1" s="2"/>
      <c r="J1" s="2"/>
      <c r="K1" s="2"/>
      <c r="L1" s="2"/>
      <c r="M1" s="2"/>
      <c r="N1" s="2"/>
    </row>
    <row r="2" customFormat="false" ht="15" hidden="false" customHeight="true" outlineLevel="0" collapsed="false">
      <c r="A2" s="3" t="s">
        <v>1</v>
      </c>
      <c r="B2" s="3"/>
      <c r="C2" s="3"/>
      <c r="D2" s="3"/>
      <c r="E2" s="3"/>
      <c r="F2" s="3"/>
      <c r="G2" s="3"/>
      <c r="H2" s="3"/>
      <c r="I2" s="3"/>
      <c r="J2" s="3"/>
      <c r="K2" s="3"/>
      <c r="L2" s="3"/>
      <c r="M2" s="3"/>
      <c r="N2" s="3"/>
    </row>
    <row r="4" customFormat="false" ht="30" hidden="false" customHeight="true" outlineLevel="0" collapsed="false">
      <c r="A4" s="4" t="s">
        <v>2</v>
      </c>
      <c r="B4" s="4" t="s">
        <v>3</v>
      </c>
      <c r="C4" s="4" t="s">
        <v>4</v>
      </c>
      <c r="D4" s="4" t="s">
        <v>5</v>
      </c>
      <c r="E4" s="4" t="s">
        <v>6</v>
      </c>
      <c r="F4" s="4" t="s">
        <v>7</v>
      </c>
      <c r="G4" s="4" t="s">
        <v>8</v>
      </c>
      <c r="H4" s="4" t="s">
        <v>9</v>
      </c>
      <c r="I4" s="4" t="s">
        <v>10</v>
      </c>
      <c r="J4" s="4" t="s">
        <v>11</v>
      </c>
      <c r="K4" s="4" t="s">
        <v>12</v>
      </c>
      <c r="L4" s="4" t="s">
        <v>13</v>
      </c>
      <c r="M4" s="4" t="s">
        <v>14</v>
      </c>
      <c r="N4" s="4" t="s">
        <v>15</v>
      </c>
    </row>
    <row r="5" customFormat="false" ht="23.25" hidden="false" customHeight="true" outlineLevel="0" collapsed="false">
      <c r="A5" s="5" t="s">
        <v>16</v>
      </c>
      <c r="B5" s="5" t="n">
        <v>2021</v>
      </c>
      <c r="C5" s="5" t="s">
        <v>17</v>
      </c>
      <c r="D5" s="5" t="s">
        <v>18</v>
      </c>
      <c r="E5" s="6" t="n">
        <v>0.75</v>
      </c>
      <c r="F5" s="6" t="n">
        <v>0</v>
      </c>
      <c r="G5" s="6" t="n">
        <v>1</v>
      </c>
      <c r="H5" s="6" t="n">
        <v>0.75</v>
      </c>
      <c r="I5" s="6" t="n">
        <v>0.75</v>
      </c>
      <c r="J5" s="6" t="n">
        <v>1</v>
      </c>
      <c r="K5" s="7" t="n">
        <f aca="false">IFERROR(AVERAGE(E5:J5),"")</f>
        <v>0.708333333333333</v>
      </c>
      <c r="L5" s="8" t="s">
        <v>19</v>
      </c>
      <c r="M5" s="8" t="s">
        <v>20</v>
      </c>
      <c r="N5" s="9" t="s">
        <v>21</v>
      </c>
    </row>
    <row r="6" customFormat="false" ht="23.25" hidden="false" customHeight="true" outlineLevel="0" collapsed="false">
      <c r="A6" s="5" t="s">
        <v>16</v>
      </c>
      <c r="B6" s="5" t="n">
        <v>2022</v>
      </c>
      <c r="C6" s="5" t="s">
        <v>22</v>
      </c>
      <c r="D6" s="5" t="s">
        <v>23</v>
      </c>
      <c r="E6" s="6" t="n">
        <v>0.75</v>
      </c>
      <c r="F6" s="6" t="n">
        <v>0.25</v>
      </c>
      <c r="G6" s="6" t="n">
        <v>0.75</v>
      </c>
      <c r="H6" s="6" t="n">
        <v>0.5</v>
      </c>
      <c r="I6" s="6" t="n">
        <v>0.75</v>
      </c>
      <c r="J6" s="6" t="n">
        <v>1</v>
      </c>
      <c r="K6" s="7" t="n">
        <f aca="false">IFERROR(AVERAGE(E6:J6),"")</f>
        <v>0.666666666666667</v>
      </c>
      <c r="L6" s="8" t="s">
        <v>24</v>
      </c>
      <c r="M6" s="8" t="s">
        <v>20</v>
      </c>
      <c r="N6" s="9" t="s">
        <v>21</v>
      </c>
    </row>
    <row r="7" customFormat="false" ht="34.5" hidden="false" customHeight="true" outlineLevel="0" collapsed="false">
      <c r="A7" s="5" t="s">
        <v>16</v>
      </c>
      <c r="B7" s="5" t="n">
        <v>2023</v>
      </c>
      <c r="C7" s="5" t="s">
        <v>25</v>
      </c>
      <c r="D7" s="5" t="s">
        <v>26</v>
      </c>
      <c r="E7" s="6" t="n">
        <v>0.5</v>
      </c>
      <c r="F7" s="6" t="n">
        <v>0.5</v>
      </c>
      <c r="G7" s="6" t="n">
        <v>0.75</v>
      </c>
      <c r="H7" s="6" t="n">
        <v>0.75</v>
      </c>
      <c r="I7" s="6" t="n">
        <v>0.5</v>
      </c>
      <c r="J7" s="6" t="n">
        <v>1</v>
      </c>
      <c r="K7" s="7" t="n">
        <f aca="false">IFERROR(AVERAGE(E7:J7),"")</f>
        <v>0.666666666666667</v>
      </c>
      <c r="L7" s="8" t="s">
        <v>27</v>
      </c>
      <c r="M7" s="8" t="s">
        <v>28</v>
      </c>
      <c r="N7" s="9" t="s">
        <v>21</v>
      </c>
    </row>
    <row r="8" customFormat="false" ht="34.5" hidden="false" customHeight="true" outlineLevel="0" collapsed="false">
      <c r="A8" s="5" t="s">
        <v>16</v>
      </c>
      <c r="B8" s="5" t="n">
        <v>2024</v>
      </c>
      <c r="C8" s="5" t="s">
        <v>29</v>
      </c>
      <c r="D8" s="5" t="s">
        <v>30</v>
      </c>
      <c r="E8" s="6" t="n">
        <v>0.5</v>
      </c>
      <c r="F8" s="6" t="n">
        <v>0.25</v>
      </c>
      <c r="G8" s="6" t="n">
        <v>0.75</v>
      </c>
      <c r="H8" s="6" t="n">
        <v>0.75</v>
      </c>
      <c r="I8" s="6" t="n">
        <v>0.25</v>
      </c>
      <c r="J8" s="6" t="n">
        <v>1</v>
      </c>
      <c r="K8" s="7" t="n">
        <f aca="false">IFERROR(AVERAGE(E8:J8),"")</f>
        <v>0.583333333333333</v>
      </c>
      <c r="L8" s="8" t="s">
        <v>31</v>
      </c>
      <c r="M8" s="8" t="s">
        <v>32</v>
      </c>
      <c r="N8" s="9" t="s">
        <v>21</v>
      </c>
    </row>
    <row r="9" customFormat="false" ht="34.5" hidden="false" customHeight="true" outlineLevel="0" collapsed="false">
      <c r="A9" s="5" t="s">
        <v>16</v>
      </c>
      <c r="B9" s="5" t="n">
        <v>2025</v>
      </c>
      <c r="C9" s="5" t="s">
        <v>33</v>
      </c>
      <c r="D9" s="5" t="s">
        <v>34</v>
      </c>
      <c r="E9" s="6" t="n">
        <v>0.5</v>
      </c>
      <c r="F9" s="6" t="n">
        <v>0.25</v>
      </c>
      <c r="G9" s="6" t="n">
        <v>0.75</v>
      </c>
      <c r="H9" s="6" t="n">
        <v>0.5</v>
      </c>
      <c r="I9" s="6" t="n">
        <v>0.75</v>
      </c>
      <c r="J9" s="6" t="n">
        <v>1</v>
      </c>
      <c r="K9" s="7" t="n">
        <f aca="false">IFERROR(AVERAGE(E9:J9),"")</f>
        <v>0.625</v>
      </c>
      <c r="L9" s="8" t="s">
        <v>35</v>
      </c>
      <c r="M9" s="8" t="s">
        <v>20</v>
      </c>
      <c r="N9" s="9" t="s">
        <v>21</v>
      </c>
    </row>
    <row r="10" customFormat="false" ht="23.25" hidden="false" customHeight="true" outlineLevel="0" collapsed="false">
      <c r="A10" s="5" t="s">
        <v>36</v>
      </c>
      <c r="B10" s="5" t="n">
        <v>2021</v>
      </c>
      <c r="C10" s="5" t="s">
        <v>37</v>
      </c>
      <c r="D10" s="5" t="s">
        <v>38</v>
      </c>
      <c r="E10" s="6" t="n">
        <v>0.75</v>
      </c>
      <c r="F10" s="6" t="n">
        <v>0.5</v>
      </c>
      <c r="G10" s="6" t="n">
        <v>0.75</v>
      </c>
      <c r="H10" s="6" t="n">
        <v>0.25</v>
      </c>
      <c r="I10" s="6" t="n">
        <v>1</v>
      </c>
      <c r="J10" s="6" t="n">
        <v>0.666666666666667</v>
      </c>
      <c r="K10" s="7" t="n">
        <f aca="false">IFERROR(AVERAGE(E10:J10),"")</f>
        <v>0.652777777777778</v>
      </c>
      <c r="L10" s="8" t="s">
        <v>39</v>
      </c>
      <c r="M10" s="8" t="s">
        <v>20</v>
      </c>
      <c r="N10" s="9" t="s">
        <v>21</v>
      </c>
    </row>
    <row r="11" customFormat="false" ht="34.5" hidden="false" customHeight="true" outlineLevel="0" collapsed="false">
      <c r="A11" s="5" t="s">
        <v>36</v>
      </c>
      <c r="B11" s="5" t="n">
        <v>2022</v>
      </c>
      <c r="C11" s="5" t="s">
        <v>40</v>
      </c>
      <c r="D11" s="5" t="s">
        <v>41</v>
      </c>
      <c r="E11" s="6" t="n">
        <v>0.75</v>
      </c>
      <c r="F11" s="6" t="n">
        <v>0.25</v>
      </c>
      <c r="G11" s="6" t="n">
        <v>0.75</v>
      </c>
      <c r="H11" s="6" t="n">
        <v>0.75</v>
      </c>
      <c r="I11" s="6" t="n">
        <v>1</v>
      </c>
      <c r="J11" s="6" t="n">
        <v>0.666666666666667</v>
      </c>
      <c r="K11" s="7" t="n">
        <f aca="false">IFERROR(AVERAGE(E11:J11),"")</f>
        <v>0.694444444444445</v>
      </c>
      <c r="L11" s="8" t="s">
        <v>42</v>
      </c>
      <c r="M11" s="8" t="s">
        <v>43</v>
      </c>
      <c r="N11" s="9" t="s">
        <v>21</v>
      </c>
    </row>
    <row r="12" customFormat="false" ht="45.75" hidden="false" customHeight="true" outlineLevel="0" collapsed="false">
      <c r="A12" s="5" t="s">
        <v>36</v>
      </c>
      <c r="B12" s="5" t="n">
        <v>2023</v>
      </c>
      <c r="C12" s="5" t="s">
        <v>44</v>
      </c>
      <c r="D12" s="5" t="s">
        <v>45</v>
      </c>
      <c r="E12" s="6" t="n">
        <v>0.75</v>
      </c>
      <c r="F12" s="6" t="n">
        <v>0.5</v>
      </c>
      <c r="G12" s="6" t="n">
        <v>0.75</v>
      </c>
      <c r="H12" s="6" t="n">
        <v>0.25</v>
      </c>
      <c r="I12" s="6" t="n">
        <v>0.75</v>
      </c>
      <c r="J12" s="6" t="n">
        <v>1</v>
      </c>
      <c r="K12" s="7" t="n">
        <f aca="false">IFERROR(AVERAGE(E12:J12),"")</f>
        <v>0.666666666666667</v>
      </c>
      <c r="L12" s="8" t="s">
        <v>46</v>
      </c>
      <c r="M12" s="8" t="s">
        <v>47</v>
      </c>
      <c r="N12" s="9" t="s">
        <v>21</v>
      </c>
    </row>
    <row r="13" customFormat="false" ht="23.25" hidden="false" customHeight="true" outlineLevel="0" collapsed="false">
      <c r="A13" s="5" t="s">
        <v>36</v>
      </c>
      <c r="B13" s="5" t="n">
        <v>2024</v>
      </c>
      <c r="C13" s="5" t="s">
        <v>48</v>
      </c>
      <c r="D13" s="5" t="s">
        <v>49</v>
      </c>
      <c r="E13" s="6" t="n">
        <v>0.75</v>
      </c>
      <c r="F13" s="6" t="n">
        <v>0.25</v>
      </c>
      <c r="G13" s="6" t="n">
        <v>1</v>
      </c>
      <c r="H13" s="6" t="n">
        <v>0.75</v>
      </c>
      <c r="I13" s="6" t="n">
        <v>0.75</v>
      </c>
      <c r="J13" s="6" t="n">
        <v>1</v>
      </c>
      <c r="K13" s="7" t="n">
        <f aca="false">IFERROR(AVERAGE(E13:J13),"")</f>
        <v>0.75</v>
      </c>
      <c r="L13" s="8" t="s">
        <v>50</v>
      </c>
      <c r="M13" s="8" t="s">
        <v>20</v>
      </c>
      <c r="N13" s="9" t="s">
        <v>21</v>
      </c>
    </row>
    <row r="14" customFormat="false" ht="23.25" hidden="false" customHeight="true" outlineLevel="0" collapsed="false">
      <c r="A14" s="5" t="s">
        <v>36</v>
      </c>
      <c r="B14" s="5" t="n">
        <v>2025</v>
      </c>
      <c r="C14" s="5" t="s">
        <v>51</v>
      </c>
      <c r="D14" s="5" t="s">
        <v>52</v>
      </c>
      <c r="E14" s="6" t="n">
        <v>0.75</v>
      </c>
      <c r="F14" s="6" t="n">
        <v>0.25</v>
      </c>
      <c r="G14" s="6" t="n">
        <v>0.75</v>
      </c>
      <c r="H14" s="6" t="n">
        <v>0.75</v>
      </c>
      <c r="I14" s="6" t="n">
        <v>1</v>
      </c>
      <c r="J14" s="6" t="n">
        <v>0.666666666666667</v>
      </c>
      <c r="K14" s="7" t="n">
        <f aca="false">IFERROR(AVERAGE(E14:J14),"")</f>
        <v>0.694444444444445</v>
      </c>
      <c r="L14" s="8" t="s">
        <v>53</v>
      </c>
      <c r="M14" s="8" t="s">
        <v>54</v>
      </c>
      <c r="N14" s="9" t="s">
        <v>21</v>
      </c>
    </row>
    <row r="15" customFormat="false" ht="34.5" hidden="false" customHeight="true" outlineLevel="0" collapsed="false">
      <c r="A15" s="5" t="s">
        <v>55</v>
      </c>
      <c r="B15" s="5" t="n">
        <v>2021</v>
      </c>
      <c r="C15" s="5" t="s">
        <v>56</v>
      </c>
      <c r="D15" s="5" t="s">
        <v>57</v>
      </c>
      <c r="E15" s="6" t="n">
        <v>0.75</v>
      </c>
      <c r="F15" s="6" t="n">
        <v>0.5</v>
      </c>
      <c r="G15" s="6" t="n">
        <v>0.75</v>
      </c>
      <c r="H15" s="6" t="n">
        <v>0.5</v>
      </c>
      <c r="I15" s="6" t="n">
        <v>1</v>
      </c>
      <c r="J15" s="6" t="n">
        <v>0.666666666666667</v>
      </c>
      <c r="K15" s="7" t="n">
        <f aca="false">IFERROR(AVERAGE(E15:J15),"")</f>
        <v>0.694444444444445</v>
      </c>
      <c r="L15" s="8" t="s">
        <v>58</v>
      </c>
      <c r="M15" s="8" t="s">
        <v>20</v>
      </c>
      <c r="N15" s="9" t="s">
        <v>21</v>
      </c>
    </row>
    <row r="16" customFormat="false" ht="45.75" hidden="false" customHeight="true" outlineLevel="0" collapsed="false">
      <c r="A16" s="5" t="s">
        <v>55</v>
      </c>
      <c r="B16" s="5" t="n">
        <v>2022</v>
      </c>
      <c r="C16" s="5" t="s">
        <v>59</v>
      </c>
      <c r="D16" s="5" t="s">
        <v>57</v>
      </c>
      <c r="E16" s="6" t="n">
        <v>0.75</v>
      </c>
      <c r="F16" s="6" t="n">
        <v>0.25</v>
      </c>
      <c r="G16" s="6" t="n">
        <v>0.75</v>
      </c>
      <c r="H16" s="6" t="n">
        <v>0.5</v>
      </c>
      <c r="I16" s="6" t="n">
        <v>1</v>
      </c>
      <c r="J16" s="6" t="n">
        <v>0.666666666666667</v>
      </c>
      <c r="K16" s="7" t="n">
        <f aca="false">IFERROR(AVERAGE(E16:J16),"")</f>
        <v>0.652777777777778</v>
      </c>
      <c r="L16" s="8" t="s">
        <v>60</v>
      </c>
      <c r="M16" s="8" t="s">
        <v>61</v>
      </c>
      <c r="N16" s="9" t="s">
        <v>21</v>
      </c>
    </row>
    <row r="17" customFormat="false" ht="34.5" hidden="false" customHeight="true" outlineLevel="0" collapsed="false">
      <c r="A17" s="5" t="s">
        <v>55</v>
      </c>
      <c r="B17" s="5" t="n">
        <v>2023</v>
      </c>
      <c r="C17" s="5" t="s">
        <v>59</v>
      </c>
      <c r="D17" s="5" t="s">
        <v>57</v>
      </c>
      <c r="E17" s="6" t="n">
        <v>1</v>
      </c>
      <c r="F17" s="6" t="n">
        <v>0.5</v>
      </c>
      <c r="G17" s="6" t="n">
        <v>0.75</v>
      </c>
      <c r="H17" s="6" t="n">
        <v>0.25</v>
      </c>
      <c r="I17" s="6" t="n">
        <v>1</v>
      </c>
      <c r="J17" s="6" t="n">
        <v>0.666666666666667</v>
      </c>
      <c r="K17" s="7" t="n">
        <f aca="false">IFERROR(AVERAGE(E17:J17),"")</f>
        <v>0.694444444444445</v>
      </c>
      <c r="L17" s="8" t="s">
        <v>62</v>
      </c>
      <c r="M17" s="8" t="s">
        <v>20</v>
      </c>
      <c r="N17" s="9" t="s">
        <v>21</v>
      </c>
    </row>
    <row r="18" customFormat="false" ht="23.25" hidden="false" customHeight="true" outlineLevel="0" collapsed="false">
      <c r="A18" s="5" t="s">
        <v>55</v>
      </c>
      <c r="B18" s="5" t="n">
        <v>2024</v>
      </c>
      <c r="C18" s="5" t="s">
        <v>63</v>
      </c>
      <c r="D18" s="5" t="s">
        <v>64</v>
      </c>
      <c r="E18" s="6" t="n">
        <v>0.5</v>
      </c>
      <c r="F18" s="6" t="n">
        <v>0</v>
      </c>
      <c r="G18" s="6" t="n">
        <v>0.5</v>
      </c>
      <c r="H18" s="6" t="n">
        <v>0.25</v>
      </c>
      <c r="I18" s="6" t="n">
        <v>1</v>
      </c>
      <c r="J18" s="6" t="n">
        <v>0.666666666666667</v>
      </c>
      <c r="K18" s="7" t="n">
        <f aca="false">IFERROR(AVERAGE(E18:J18),"")</f>
        <v>0.486111111111111</v>
      </c>
      <c r="L18" s="8" t="s">
        <v>65</v>
      </c>
      <c r="M18" s="8" t="s">
        <v>20</v>
      </c>
      <c r="N18" s="9" t="s">
        <v>21</v>
      </c>
    </row>
    <row r="19" customFormat="false" ht="34.5" hidden="false" customHeight="true" outlineLevel="0" collapsed="false">
      <c r="A19" s="5" t="s">
        <v>55</v>
      </c>
      <c r="B19" s="5" t="n">
        <v>2025</v>
      </c>
      <c r="C19" s="5" t="s">
        <v>48</v>
      </c>
      <c r="D19" s="5" t="s">
        <v>64</v>
      </c>
      <c r="E19" s="6" t="n">
        <v>0.5</v>
      </c>
      <c r="F19" s="6" t="n">
        <v>0.25</v>
      </c>
      <c r="G19" s="6" t="n">
        <v>0.5</v>
      </c>
      <c r="H19" s="6" t="n">
        <v>0.5</v>
      </c>
      <c r="I19" s="6" t="n">
        <v>0.5</v>
      </c>
      <c r="J19" s="6" t="n">
        <v>1</v>
      </c>
      <c r="K19" s="7" t="n">
        <f aca="false">IFERROR(AVERAGE(E19:J19),"")</f>
        <v>0.541666666666667</v>
      </c>
      <c r="L19" s="8" t="s">
        <v>66</v>
      </c>
      <c r="M19" s="8" t="s">
        <v>20</v>
      </c>
      <c r="N19" s="9" t="s">
        <v>21</v>
      </c>
    </row>
    <row r="20" customFormat="false" ht="45.75" hidden="false" customHeight="true" outlineLevel="0" collapsed="false">
      <c r="A20" s="5" t="s">
        <v>67</v>
      </c>
      <c r="B20" s="5" t="n">
        <v>2021</v>
      </c>
      <c r="C20" s="5" t="s">
        <v>68</v>
      </c>
      <c r="D20" s="5" t="s">
        <v>69</v>
      </c>
      <c r="E20" s="6" t="n">
        <v>0.5</v>
      </c>
      <c r="F20" s="6" t="n">
        <v>0.25</v>
      </c>
      <c r="G20" s="6" t="n">
        <v>0.75</v>
      </c>
      <c r="H20" s="6" t="n">
        <v>0.75</v>
      </c>
      <c r="I20" s="6" t="n">
        <v>0.75</v>
      </c>
      <c r="J20" s="6" t="n">
        <v>1</v>
      </c>
      <c r="K20" s="7" t="n">
        <f aca="false">IFERROR(AVERAGE(E20:J20),"")</f>
        <v>0.666666666666667</v>
      </c>
      <c r="L20" s="8" t="s">
        <v>70</v>
      </c>
      <c r="M20" s="8" t="s">
        <v>71</v>
      </c>
      <c r="N20" s="9" t="s">
        <v>21</v>
      </c>
    </row>
    <row r="21" customFormat="false" ht="34.5" hidden="false" customHeight="true" outlineLevel="0" collapsed="false">
      <c r="A21" s="5" t="s">
        <v>67</v>
      </c>
      <c r="B21" s="5" t="n">
        <v>2022</v>
      </c>
      <c r="C21" s="5" t="s">
        <v>72</v>
      </c>
      <c r="D21" s="5" t="s">
        <v>73</v>
      </c>
      <c r="E21" s="6" t="n">
        <v>0.75</v>
      </c>
      <c r="F21" s="6" t="n">
        <v>0.5</v>
      </c>
      <c r="G21" s="6" t="n">
        <v>0.75</v>
      </c>
      <c r="H21" s="6" t="n">
        <v>1</v>
      </c>
      <c r="I21" s="6" t="n">
        <v>1</v>
      </c>
      <c r="J21" s="6" t="n">
        <v>1</v>
      </c>
      <c r="K21" s="7" t="n">
        <f aca="false">IFERROR(AVERAGE(E21:J21),"")</f>
        <v>0.833333333333333</v>
      </c>
      <c r="L21" s="8" t="s">
        <v>74</v>
      </c>
      <c r="M21" s="8" t="s">
        <v>75</v>
      </c>
      <c r="N21" s="9" t="s">
        <v>21</v>
      </c>
    </row>
    <row r="22" customFormat="false" ht="34.5" hidden="false" customHeight="true" outlineLevel="0" collapsed="false">
      <c r="A22" s="5" t="s">
        <v>67</v>
      </c>
      <c r="B22" s="5" t="n">
        <v>2023</v>
      </c>
      <c r="C22" s="5" t="s">
        <v>76</v>
      </c>
      <c r="D22" s="5" t="s">
        <v>77</v>
      </c>
      <c r="E22" s="6" t="n">
        <v>0.75</v>
      </c>
      <c r="F22" s="6" t="n">
        <v>0.25</v>
      </c>
      <c r="G22" s="6" t="n">
        <v>0.75</v>
      </c>
      <c r="H22" s="6" t="n">
        <v>0.75</v>
      </c>
      <c r="I22" s="6" t="n">
        <v>0.75</v>
      </c>
      <c r="J22" s="6" t="n">
        <v>0.666666666666667</v>
      </c>
      <c r="K22" s="7" t="n">
        <f aca="false">IFERROR(AVERAGE(E22:J22),"")</f>
        <v>0.652777777777778</v>
      </c>
      <c r="L22" s="8" t="s">
        <v>78</v>
      </c>
      <c r="M22" s="8" t="s">
        <v>79</v>
      </c>
      <c r="N22" s="9" t="s">
        <v>21</v>
      </c>
    </row>
    <row r="23" customFormat="false" ht="34.5" hidden="false" customHeight="true" outlineLevel="0" collapsed="false">
      <c r="A23" s="5" t="s">
        <v>67</v>
      </c>
      <c r="B23" s="5" t="n">
        <v>2024</v>
      </c>
      <c r="C23" s="5" t="s">
        <v>80</v>
      </c>
      <c r="D23" s="5" t="s">
        <v>81</v>
      </c>
      <c r="E23" s="6" t="n">
        <v>0.75</v>
      </c>
      <c r="F23" s="6" t="n">
        <v>0.75</v>
      </c>
      <c r="G23" s="6" t="n">
        <v>0.75</v>
      </c>
      <c r="H23" s="6" t="n">
        <v>1</v>
      </c>
      <c r="I23" s="6" t="n">
        <v>1</v>
      </c>
      <c r="J23" s="6" t="n">
        <v>0.666666666666667</v>
      </c>
      <c r="K23" s="7" t="n">
        <f aca="false">IFERROR(AVERAGE(E23:J23),"")</f>
        <v>0.819444444444445</v>
      </c>
      <c r="L23" s="8" t="s">
        <v>82</v>
      </c>
      <c r="M23" s="8" t="s">
        <v>83</v>
      </c>
      <c r="N23" s="9" t="s">
        <v>21</v>
      </c>
    </row>
    <row r="24" customFormat="false" ht="45.75" hidden="false" customHeight="true" outlineLevel="0" collapsed="false">
      <c r="A24" s="5" t="s">
        <v>67</v>
      </c>
      <c r="B24" s="5" t="n">
        <v>2025</v>
      </c>
      <c r="C24" s="5" t="s">
        <v>84</v>
      </c>
      <c r="D24" s="5" t="s">
        <v>85</v>
      </c>
      <c r="E24" s="6" t="n">
        <v>1</v>
      </c>
      <c r="F24" s="6" t="n">
        <v>0.75</v>
      </c>
      <c r="G24" s="6" t="n">
        <v>0.75</v>
      </c>
      <c r="H24" s="6" t="n">
        <v>0.75</v>
      </c>
      <c r="I24" s="6" t="n">
        <v>0.75</v>
      </c>
      <c r="J24" s="6" t="n">
        <v>1</v>
      </c>
      <c r="K24" s="7" t="n">
        <f aca="false">IFERROR(AVERAGE(E24:J24),"")</f>
        <v>0.833333333333333</v>
      </c>
      <c r="L24" s="8" t="s">
        <v>86</v>
      </c>
      <c r="M24" s="8" t="s">
        <v>87</v>
      </c>
      <c r="N24" s="9" t="s">
        <v>21</v>
      </c>
    </row>
    <row r="25" customFormat="false" ht="34.5" hidden="false" customHeight="true" outlineLevel="0" collapsed="false">
      <c r="A25" s="5" t="s">
        <v>88</v>
      </c>
      <c r="B25" s="5" t="n">
        <v>2021</v>
      </c>
      <c r="C25" s="5" t="s">
        <v>89</v>
      </c>
      <c r="D25" s="5" t="s">
        <v>90</v>
      </c>
      <c r="E25" s="6" t="n">
        <v>0.25</v>
      </c>
      <c r="F25" s="6" t="n">
        <v>0.5</v>
      </c>
      <c r="G25" s="6" t="n">
        <v>0.75</v>
      </c>
      <c r="H25" s="6" t="n">
        <v>0.75</v>
      </c>
      <c r="I25" s="6" t="n">
        <v>0.5</v>
      </c>
      <c r="J25" s="6" t="n">
        <v>0.333333333333333</v>
      </c>
      <c r="K25" s="7" t="n">
        <f aca="false">IFERROR(AVERAGE(E25:J25),"")</f>
        <v>0.513888888888889</v>
      </c>
      <c r="L25" s="8" t="s">
        <v>91</v>
      </c>
      <c r="M25" s="8" t="s">
        <v>20</v>
      </c>
      <c r="N25" s="9" t="s">
        <v>21</v>
      </c>
    </row>
    <row r="26" customFormat="false" ht="34.5" hidden="false" customHeight="true" outlineLevel="0" collapsed="false">
      <c r="A26" s="5" t="s">
        <v>88</v>
      </c>
      <c r="B26" s="5" t="n">
        <v>2022</v>
      </c>
      <c r="C26" s="5" t="s">
        <v>92</v>
      </c>
      <c r="D26" s="5" t="s">
        <v>90</v>
      </c>
      <c r="E26" s="6" t="n">
        <v>0.5</v>
      </c>
      <c r="F26" s="6" t="n">
        <v>0.5</v>
      </c>
      <c r="G26" s="6" t="n">
        <v>0.75</v>
      </c>
      <c r="H26" s="6" t="n">
        <v>0.5</v>
      </c>
      <c r="I26" s="6" t="n">
        <v>1</v>
      </c>
      <c r="J26" s="6" t="n">
        <v>0.666666666666667</v>
      </c>
      <c r="K26" s="7" t="n">
        <f aca="false">IFERROR(AVERAGE(E26:J26),"")</f>
        <v>0.652777777777778</v>
      </c>
      <c r="L26" s="8" t="s">
        <v>93</v>
      </c>
      <c r="M26" s="8" t="s">
        <v>20</v>
      </c>
      <c r="N26" s="9" t="s">
        <v>21</v>
      </c>
    </row>
    <row r="27" customFormat="false" ht="45.75" hidden="false" customHeight="true" outlineLevel="0" collapsed="false">
      <c r="A27" s="5" t="s">
        <v>88</v>
      </c>
      <c r="B27" s="5" t="n">
        <v>2023</v>
      </c>
      <c r="C27" s="5" t="s">
        <v>92</v>
      </c>
      <c r="D27" s="5" t="s">
        <v>94</v>
      </c>
      <c r="E27" s="6" t="n">
        <v>0.5</v>
      </c>
      <c r="F27" s="6" t="n">
        <v>0.5</v>
      </c>
      <c r="G27" s="6" t="n">
        <v>1</v>
      </c>
      <c r="H27" s="6" t="n">
        <v>0.25</v>
      </c>
      <c r="I27" s="6" t="n">
        <v>0.75</v>
      </c>
      <c r="J27" s="6" t="n">
        <v>1</v>
      </c>
      <c r="K27" s="7" t="n">
        <f aca="false">IFERROR(AVERAGE(E27:J27),"")</f>
        <v>0.666666666666667</v>
      </c>
      <c r="L27" s="8" t="s">
        <v>95</v>
      </c>
      <c r="M27" s="8" t="s">
        <v>96</v>
      </c>
      <c r="N27" s="9" t="s">
        <v>21</v>
      </c>
    </row>
    <row r="28" customFormat="false" ht="34.5" hidden="false" customHeight="true" outlineLevel="0" collapsed="false">
      <c r="A28" s="5" t="s">
        <v>88</v>
      </c>
      <c r="B28" s="5" t="n">
        <v>2024</v>
      </c>
      <c r="C28" s="5" t="s">
        <v>97</v>
      </c>
      <c r="D28" s="5" t="s">
        <v>98</v>
      </c>
      <c r="E28" s="6" t="n">
        <v>0.25</v>
      </c>
      <c r="F28" s="6" t="n">
        <v>0.5</v>
      </c>
      <c r="G28" s="6" t="n">
        <v>1</v>
      </c>
      <c r="H28" s="6" t="n">
        <v>0.75</v>
      </c>
      <c r="I28" s="6" t="n">
        <v>1</v>
      </c>
      <c r="J28" s="6" t="n">
        <v>1</v>
      </c>
      <c r="K28" s="7" t="n">
        <f aca="false">IFERROR(AVERAGE(E28:J28),"")</f>
        <v>0.75</v>
      </c>
      <c r="L28" s="8" t="s">
        <v>99</v>
      </c>
      <c r="M28" s="8" t="s">
        <v>20</v>
      </c>
      <c r="N28" s="9" t="s">
        <v>21</v>
      </c>
    </row>
    <row r="29" customFormat="false" ht="45.75" hidden="false" customHeight="true" outlineLevel="0" collapsed="false">
      <c r="A29" s="5" t="s">
        <v>88</v>
      </c>
      <c r="B29" s="5" t="n">
        <v>2025</v>
      </c>
      <c r="C29" s="5" t="s">
        <v>100</v>
      </c>
      <c r="D29" s="5" t="s">
        <v>98</v>
      </c>
      <c r="E29" s="6" t="n">
        <v>0.5</v>
      </c>
      <c r="F29" s="6" t="n">
        <v>0.5</v>
      </c>
      <c r="G29" s="6" t="n">
        <v>1</v>
      </c>
      <c r="H29" s="6" t="n">
        <v>1</v>
      </c>
      <c r="I29" s="6" t="n">
        <v>1</v>
      </c>
      <c r="J29" s="6" t="n">
        <v>0.666666666666667</v>
      </c>
      <c r="K29" s="7" t="n">
        <f aca="false">IFERROR(AVERAGE(E29:J29),"")</f>
        <v>0.777777777777778</v>
      </c>
      <c r="L29" s="8" t="s">
        <v>101</v>
      </c>
      <c r="M29" s="8" t="s">
        <v>102</v>
      </c>
      <c r="N29" s="9" t="s">
        <v>21</v>
      </c>
    </row>
    <row r="31" customFormat="false" ht="15" hidden="false" customHeight="true" outlineLevel="0" collapsed="false">
      <c r="A31" s="10" t="s">
        <v>103</v>
      </c>
    </row>
    <row r="32" customFormat="false" ht="15" hidden="false" customHeight="true" outlineLevel="0" collapsed="false">
      <c r="A32" s="3" t="s">
        <v>104</v>
      </c>
      <c r="B32" s="3"/>
      <c r="C32" s="3"/>
      <c r="D32" s="3"/>
      <c r="E32" s="3"/>
      <c r="F32" s="3"/>
      <c r="G32" s="3"/>
      <c r="H32" s="3"/>
      <c r="I32" s="3"/>
      <c r="J32" s="3"/>
      <c r="K32" s="3"/>
      <c r="L32" s="3"/>
      <c r="M32" s="3"/>
      <c r="N32" s="3"/>
    </row>
    <row r="33" customFormat="false" ht="15" hidden="false" customHeight="true" outlineLevel="0" collapsed="false">
      <c r="A33" s="3" t="s">
        <v>105</v>
      </c>
      <c r="B33" s="3"/>
      <c r="C33" s="3"/>
      <c r="D33" s="3"/>
      <c r="E33" s="3"/>
      <c r="F33" s="3"/>
      <c r="G33" s="3"/>
      <c r="H33" s="3"/>
      <c r="I33" s="3"/>
      <c r="J33" s="3"/>
      <c r="K33" s="3"/>
      <c r="L33" s="3"/>
      <c r="M33" s="3"/>
      <c r="N33" s="3"/>
    </row>
    <row r="34" customFormat="false" ht="15" hidden="false" customHeight="true" outlineLevel="0" collapsed="false">
      <c r="A34" s="3" t="s">
        <v>106</v>
      </c>
      <c r="B34" s="3"/>
      <c r="C34" s="3"/>
      <c r="D34" s="3"/>
      <c r="E34" s="3"/>
      <c r="F34" s="3"/>
      <c r="G34" s="3"/>
      <c r="H34" s="3"/>
      <c r="I34" s="3"/>
      <c r="J34" s="3"/>
      <c r="K34" s="3"/>
      <c r="L34" s="3"/>
      <c r="M34" s="3"/>
      <c r="N34" s="3"/>
    </row>
  </sheetData>
  <mergeCells count="5">
    <mergeCell ref="A1:N1"/>
    <mergeCell ref="A2:N2"/>
    <mergeCell ref="A32:N32"/>
    <mergeCell ref="A33:N33"/>
    <mergeCell ref="A34:N34"/>
  </mergeCells>
  <hyperlinks>
    <hyperlink ref="N5" r:id="rId1" display="Abrir chat"/>
    <hyperlink ref="N6" r:id="rId2" display="Abrir chat"/>
    <hyperlink ref="N7" r:id="rId3" display="Abrir chat"/>
    <hyperlink ref="N8" r:id="rId4" display="Abrir chat"/>
    <hyperlink ref="N9" r:id="rId5" display="Abrir chat"/>
    <hyperlink ref="N10" r:id="rId6" display="Abrir chat"/>
    <hyperlink ref="N11" r:id="rId7" display="Abrir chat"/>
    <hyperlink ref="N12" r:id="rId8" display="Abrir chat"/>
    <hyperlink ref="N13" r:id="rId9" display="Abrir chat"/>
    <hyperlink ref="N14" r:id="rId10" display="Abrir chat"/>
    <hyperlink ref="N15" r:id="rId11" display="Abrir chat"/>
    <hyperlink ref="N16" r:id="rId12" display="Abrir chat"/>
    <hyperlink ref="N17" r:id="rId13" display="Abrir chat"/>
    <hyperlink ref="N18" r:id="rId14" display="Abrir chat"/>
    <hyperlink ref="N19" r:id="rId15" display="Abrir chat"/>
    <hyperlink ref="N20" r:id="rId16" display="Abrir chat"/>
    <hyperlink ref="N21" r:id="rId17" display="Abrir chat"/>
    <hyperlink ref="N22" r:id="rId18" display="Abrir chat"/>
    <hyperlink ref="N23" r:id="rId19" display="Abrir chat"/>
    <hyperlink ref="N24" r:id="rId20" display="Abrir chat"/>
    <hyperlink ref="N25" r:id="rId21" display="Abrir chat"/>
    <hyperlink ref="N26" r:id="rId22" display="Abrir chat"/>
    <hyperlink ref="N27" r:id="rId23" display="Abrir chat"/>
    <hyperlink ref="N28" r:id="rId24" display="Abrir chat"/>
    <hyperlink ref="N29" r:id="rId25" display="Abrir chat"/>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6"/>
    <col collapsed="false" customWidth="true" hidden="false" outlineLevel="0" max="2" min="2" style="1" width="8"/>
    <col collapsed="false" customWidth="true" hidden="false" outlineLevel="0" max="3" min="3" style="1" width="40"/>
    <col collapsed="false" customWidth="true" hidden="false" outlineLevel="0" max="4" min="4" style="1" width="26"/>
    <col collapsed="false" customWidth="true" hidden="false" outlineLevel="0" max="5" min="5" style="1" width="36"/>
    <col collapsed="false" customWidth="true" hidden="false" outlineLevel="0" max="6" min="6" style="1" width="22"/>
    <col collapsed="false" customWidth="true" hidden="false" outlineLevel="0" max="7" min="7" style="1" width="24"/>
    <col collapsed="false" customWidth="true" hidden="false" outlineLevel="0" max="8" min="8" style="1" width="44"/>
    <col collapsed="false" customWidth="true" hidden="false" outlineLevel="0" max="9" min="9" style="1" width="12"/>
  </cols>
  <sheetData>
    <row r="1" customFormat="false" ht="17.25" hidden="false" customHeight="true" outlineLevel="0" collapsed="false">
      <c r="A1" s="2" t="s">
        <v>107</v>
      </c>
      <c r="B1" s="2"/>
      <c r="C1" s="2"/>
      <c r="D1" s="2"/>
      <c r="E1" s="2"/>
      <c r="F1" s="2"/>
      <c r="G1" s="2"/>
      <c r="H1" s="2"/>
      <c r="I1" s="2"/>
    </row>
    <row r="2" customFormat="false" ht="15" hidden="false" customHeight="true" outlineLevel="0" collapsed="false">
      <c r="A2" s="3" t="s">
        <v>108</v>
      </c>
      <c r="B2" s="3"/>
      <c r="C2" s="3"/>
      <c r="D2" s="3"/>
      <c r="E2" s="3"/>
      <c r="F2" s="3"/>
      <c r="G2" s="3"/>
      <c r="H2" s="3"/>
      <c r="I2" s="3"/>
    </row>
    <row r="4" customFormat="false" ht="30" hidden="false" customHeight="true" outlineLevel="0" collapsed="false">
      <c r="A4" s="4" t="s">
        <v>2</v>
      </c>
      <c r="B4" s="4" t="s">
        <v>3</v>
      </c>
      <c r="C4" s="4" t="s">
        <v>109</v>
      </c>
      <c r="D4" s="4" t="s">
        <v>110</v>
      </c>
      <c r="E4" s="4" t="s">
        <v>111</v>
      </c>
      <c r="F4" s="4" t="s">
        <v>112</v>
      </c>
      <c r="G4" s="4" t="s">
        <v>113</v>
      </c>
      <c r="H4" s="4" t="s">
        <v>114</v>
      </c>
      <c r="I4" s="4" t="s">
        <v>15</v>
      </c>
    </row>
    <row r="5" customFormat="false" ht="34.5" hidden="false" customHeight="true" outlineLevel="0" collapsed="false">
      <c r="A5" s="8" t="s">
        <v>16</v>
      </c>
      <c r="B5" s="8" t="n">
        <v>2021</v>
      </c>
      <c r="C5" s="8" t="s">
        <v>18</v>
      </c>
      <c r="D5" s="11" t="s">
        <v>115</v>
      </c>
      <c r="E5" s="8" t="s">
        <v>116</v>
      </c>
      <c r="F5" s="11" t="s">
        <v>117</v>
      </c>
      <c r="G5" s="8" t="s">
        <v>118</v>
      </c>
      <c r="H5" s="8" t="s">
        <v>119</v>
      </c>
      <c r="I5" s="9" t="s">
        <v>21</v>
      </c>
    </row>
    <row r="6" customFormat="false" ht="23.25" hidden="false" customHeight="true" outlineLevel="0" collapsed="false">
      <c r="A6" s="8" t="s">
        <v>16</v>
      </c>
      <c r="B6" s="8" t="n">
        <v>2022</v>
      </c>
      <c r="C6" s="8" t="s">
        <v>23</v>
      </c>
      <c r="D6" s="8" t="s">
        <v>120</v>
      </c>
      <c r="E6" s="8" t="s">
        <v>121</v>
      </c>
      <c r="F6" s="8" t="s">
        <v>122</v>
      </c>
      <c r="G6" s="8" t="s">
        <v>118</v>
      </c>
      <c r="H6" s="8" t="s">
        <v>123</v>
      </c>
      <c r="I6" s="9" t="s">
        <v>21</v>
      </c>
    </row>
    <row r="7" customFormat="false" ht="23.25" hidden="false" customHeight="true" outlineLevel="0" collapsed="false">
      <c r="A7" s="8" t="s">
        <v>16</v>
      </c>
      <c r="B7" s="8" t="n">
        <v>2023</v>
      </c>
      <c r="C7" s="8" t="s">
        <v>26</v>
      </c>
      <c r="D7" s="11" t="s">
        <v>124</v>
      </c>
      <c r="E7" s="8" t="s">
        <v>125</v>
      </c>
      <c r="F7" s="8" t="s">
        <v>126</v>
      </c>
      <c r="G7" s="8" t="s">
        <v>118</v>
      </c>
      <c r="H7" s="8" t="s">
        <v>127</v>
      </c>
      <c r="I7" s="9" t="s">
        <v>21</v>
      </c>
    </row>
    <row r="8" customFormat="false" ht="23.25" hidden="false" customHeight="true" outlineLevel="0" collapsed="false">
      <c r="A8" s="8" t="s">
        <v>16</v>
      </c>
      <c r="B8" s="8" t="n">
        <v>2024</v>
      </c>
      <c r="C8" s="8" t="s">
        <v>128</v>
      </c>
      <c r="D8" s="11" t="s">
        <v>129</v>
      </c>
      <c r="E8" s="8" t="s">
        <v>130</v>
      </c>
      <c r="F8" s="11" t="s">
        <v>131</v>
      </c>
      <c r="G8" s="8" t="s">
        <v>118</v>
      </c>
      <c r="H8" s="8" t="s">
        <v>132</v>
      </c>
      <c r="I8" s="9" t="s">
        <v>21</v>
      </c>
    </row>
    <row r="9" customFormat="false" ht="23.25" hidden="false" customHeight="true" outlineLevel="0" collapsed="false">
      <c r="A9" s="8" t="s">
        <v>16</v>
      </c>
      <c r="B9" s="8" t="n">
        <v>2025</v>
      </c>
      <c r="C9" s="8" t="s">
        <v>133</v>
      </c>
      <c r="D9" s="11" t="s">
        <v>134</v>
      </c>
      <c r="E9" s="8" t="s">
        <v>135</v>
      </c>
      <c r="F9" s="8" t="s">
        <v>136</v>
      </c>
      <c r="G9" s="8" t="s">
        <v>118</v>
      </c>
      <c r="H9" s="8" t="s">
        <v>137</v>
      </c>
      <c r="I9" s="9" t="s">
        <v>21</v>
      </c>
    </row>
    <row r="10" customFormat="false" ht="23.25" hidden="false" customHeight="true" outlineLevel="0" collapsed="false">
      <c r="A10" s="8" t="s">
        <v>36</v>
      </c>
      <c r="B10" s="8" t="n">
        <v>2021</v>
      </c>
      <c r="C10" s="8" t="s">
        <v>138</v>
      </c>
      <c r="D10" s="8" t="s">
        <v>139</v>
      </c>
      <c r="E10" s="11" t="s">
        <v>140</v>
      </c>
      <c r="F10" s="8" t="s">
        <v>141</v>
      </c>
      <c r="G10" s="8" t="s">
        <v>142</v>
      </c>
      <c r="H10" s="8" t="s">
        <v>143</v>
      </c>
      <c r="I10" s="9" t="s">
        <v>21</v>
      </c>
    </row>
    <row r="11" customFormat="false" ht="23.25" hidden="false" customHeight="true" outlineLevel="0" collapsed="false">
      <c r="A11" s="8" t="s">
        <v>36</v>
      </c>
      <c r="B11" s="8" t="n">
        <v>2022</v>
      </c>
      <c r="C11" s="8" t="s">
        <v>41</v>
      </c>
      <c r="D11" s="8" t="s">
        <v>144</v>
      </c>
      <c r="E11" s="8" t="s">
        <v>145</v>
      </c>
      <c r="F11" s="8" t="s">
        <v>146</v>
      </c>
      <c r="G11" s="8" t="s">
        <v>142</v>
      </c>
      <c r="H11" s="8" t="s">
        <v>147</v>
      </c>
      <c r="I11" s="9" t="s">
        <v>21</v>
      </c>
    </row>
    <row r="12" customFormat="false" ht="23.25" hidden="false" customHeight="true" outlineLevel="0" collapsed="false">
      <c r="A12" s="8" t="s">
        <v>36</v>
      </c>
      <c r="B12" s="8" t="n">
        <v>2023</v>
      </c>
      <c r="C12" s="8" t="s">
        <v>148</v>
      </c>
      <c r="D12" s="8" t="s">
        <v>149</v>
      </c>
      <c r="E12" s="8" t="s">
        <v>150</v>
      </c>
      <c r="F12" s="8" t="s">
        <v>151</v>
      </c>
      <c r="G12" s="8" t="s">
        <v>142</v>
      </c>
      <c r="H12" s="8" t="s">
        <v>152</v>
      </c>
      <c r="I12" s="9" t="s">
        <v>21</v>
      </c>
    </row>
    <row r="13" customFormat="false" ht="23.25" hidden="false" customHeight="true" outlineLevel="0" collapsed="false">
      <c r="A13" s="8" t="s">
        <v>36</v>
      </c>
      <c r="B13" s="8" t="n">
        <v>2024</v>
      </c>
      <c r="C13" s="8" t="s">
        <v>49</v>
      </c>
      <c r="D13" s="8" t="s">
        <v>153</v>
      </c>
      <c r="E13" s="8" t="s">
        <v>154</v>
      </c>
      <c r="F13" s="11" t="s">
        <v>155</v>
      </c>
      <c r="G13" s="8" t="s">
        <v>142</v>
      </c>
      <c r="H13" s="8" t="s">
        <v>147</v>
      </c>
      <c r="I13" s="9" t="s">
        <v>21</v>
      </c>
    </row>
    <row r="14" customFormat="false" ht="23.25" hidden="false" customHeight="true" outlineLevel="0" collapsed="false">
      <c r="A14" s="8" t="s">
        <v>36</v>
      </c>
      <c r="B14" s="8" t="n">
        <v>2025</v>
      </c>
      <c r="C14" s="8" t="s">
        <v>156</v>
      </c>
      <c r="D14" s="8" t="s">
        <v>157</v>
      </c>
      <c r="E14" s="8" t="s">
        <v>158</v>
      </c>
      <c r="F14" s="11" t="s">
        <v>159</v>
      </c>
      <c r="G14" s="8" t="s">
        <v>142</v>
      </c>
      <c r="H14" s="8" t="s">
        <v>160</v>
      </c>
      <c r="I14" s="9" t="s">
        <v>21</v>
      </c>
    </row>
    <row r="15" customFormat="false" ht="23.25" hidden="false" customHeight="true" outlineLevel="0" collapsed="false">
      <c r="A15" s="8" t="s">
        <v>55</v>
      </c>
      <c r="B15" s="8" t="n">
        <v>2021</v>
      </c>
      <c r="C15" s="8" t="s">
        <v>57</v>
      </c>
      <c r="D15" s="8" t="s">
        <v>161</v>
      </c>
      <c r="E15" s="8" t="s">
        <v>162</v>
      </c>
      <c r="F15" s="8" t="s">
        <v>163</v>
      </c>
      <c r="G15" s="8" t="s">
        <v>164</v>
      </c>
      <c r="H15" s="8" t="s">
        <v>165</v>
      </c>
      <c r="I15" s="9" t="s">
        <v>21</v>
      </c>
    </row>
    <row r="16" customFormat="false" ht="23.25" hidden="false" customHeight="true" outlineLevel="0" collapsed="false">
      <c r="A16" s="8" t="s">
        <v>55</v>
      </c>
      <c r="B16" s="8" t="n">
        <v>2022</v>
      </c>
      <c r="C16" s="8" t="s">
        <v>57</v>
      </c>
      <c r="D16" s="8" t="s">
        <v>161</v>
      </c>
      <c r="E16" s="8" t="s">
        <v>166</v>
      </c>
      <c r="F16" s="8" t="s">
        <v>163</v>
      </c>
      <c r="G16" s="8" t="s">
        <v>164</v>
      </c>
      <c r="H16" s="8" t="s">
        <v>147</v>
      </c>
      <c r="I16" s="9" t="s">
        <v>21</v>
      </c>
    </row>
    <row r="17" customFormat="false" ht="23.25" hidden="false" customHeight="true" outlineLevel="0" collapsed="false">
      <c r="A17" s="8" t="s">
        <v>55</v>
      </c>
      <c r="B17" s="8" t="n">
        <v>2023</v>
      </c>
      <c r="C17" s="8" t="s">
        <v>57</v>
      </c>
      <c r="D17" s="8" t="s">
        <v>167</v>
      </c>
      <c r="E17" s="11" t="s">
        <v>168</v>
      </c>
      <c r="F17" s="11" t="s">
        <v>159</v>
      </c>
      <c r="G17" s="8" t="s">
        <v>164</v>
      </c>
      <c r="H17" s="8" t="s">
        <v>169</v>
      </c>
      <c r="I17" s="9" t="s">
        <v>21</v>
      </c>
    </row>
    <row r="18" customFormat="false" ht="23.25" hidden="false" customHeight="true" outlineLevel="0" collapsed="false">
      <c r="A18" s="8" t="s">
        <v>55</v>
      </c>
      <c r="B18" s="8" t="n">
        <v>2024</v>
      </c>
      <c r="C18" s="8" t="s">
        <v>64</v>
      </c>
      <c r="D18" s="8" t="s">
        <v>170</v>
      </c>
      <c r="E18" s="11" t="s">
        <v>171</v>
      </c>
      <c r="F18" s="8" t="s">
        <v>163</v>
      </c>
      <c r="G18" s="8" t="s">
        <v>164</v>
      </c>
      <c r="H18" s="8" t="s">
        <v>172</v>
      </c>
      <c r="I18" s="9" t="s">
        <v>21</v>
      </c>
    </row>
    <row r="19" customFormat="false" ht="34.5" hidden="false" customHeight="true" outlineLevel="0" collapsed="false">
      <c r="A19" s="8" t="s">
        <v>55</v>
      </c>
      <c r="B19" s="8" t="n">
        <v>2025</v>
      </c>
      <c r="C19" s="8" t="s">
        <v>64</v>
      </c>
      <c r="D19" s="8" t="s">
        <v>167</v>
      </c>
      <c r="E19" s="11" t="s">
        <v>171</v>
      </c>
      <c r="F19" s="11" t="s">
        <v>173</v>
      </c>
      <c r="G19" s="8" t="s">
        <v>164</v>
      </c>
      <c r="H19" s="8" t="s">
        <v>147</v>
      </c>
      <c r="I19" s="9" t="s">
        <v>21</v>
      </c>
    </row>
    <row r="20" customFormat="false" ht="23.25" hidden="false" customHeight="true" outlineLevel="0" collapsed="false">
      <c r="A20" s="8" t="s">
        <v>67</v>
      </c>
      <c r="B20" s="8" t="n">
        <v>2021</v>
      </c>
      <c r="C20" s="8" t="s">
        <v>174</v>
      </c>
      <c r="D20" s="8" t="s">
        <v>175</v>
      </c>
      <c r="E20" s="8" t="s">
        <v>176</v>
      </c>
      <c r="F20" s="8" t="s">
        <v>136</v>
      </c>
      <c r="G20" s="8" t="s">
        <v>177</v>
      </c>
      <c r="H20" s="8" t="s">
        <v>147</v>
      </c>
      <c r="I20" s="9" t="s">
        <v>21</v>
      </c>
    </row>
    <row r="21" customFormat="false" ht="23.25" hidden="false" customHeight="true" outlineLevel="0" collapsed="false">
      <c r="A21" s="8" t="s">
        <v>67</v>
      </c>
      <c r="B21" s="8" t="n">
        <v>2022</v>
      </c>
      <c r="C21" s="8" t="s">
        <v>178</v>
      </c>
      <c r="D21" s="8" t="s">
        <v>179</v>
      </c>
      <c r="E21" s="8" t="s">
        <v>180</v>
      </c>
      <c r="F21" s="11" t="s">
        <v>181</v>
      </c>
      <c r="G21" s="8" t="s">
        <v>177</v>
      </c>
      <c r="H21" s="8" t="s">
        <v>147</v>
      </c>
      <c r="I21" s="9" t="s">
        <v>21</v>
      </c>
    </row>
    <row r="22" customFormat="false" ht="23.25" hidden="false" customHeight="true" outlineLevel="0" collapsed="false">
      <c r="A22" s="8" t="s">
        <v>67</v>
      </c>
      <c r="B22" s="8" t="n">
        <v>2023</v>
      </c>
      <c r="C22" s="8" t="s">
        <v>182</v>
      </c>
      <c r="D22" s="8" t="s">
        <v>183</v>
      </c>
      <c r="E22" s="11" t="s">
        <v>184</v>
      </c>
      <c r="F22" s="8" t="s">
        <v>185</v>
      </c>
      <c r="G22" s="8" t="s">
        <v>177</v>
      </c>
      <c r="H22" s="8" t="s">
        <v>186</v>
      </c>
      <c r="I22" s="9" t="s">
        <v>21</v>
      </c>
    </row>
    <row r="23" customFormat="false" ht="23.25" hidden="false" customHeight="true" outlineLevel="0" collapsed="false">
      <c r="A23" s="8" t="s">
        <v>67</v>
      </c>
      <c r="B23" s="8" t="n">
        <v>2024</v>
      </c>
      <c r="C23" s="8" t="s">
        <v>187</v>
      </c>
      <c r="D23" s="8" t="s">
        <v>188</v>
      </c>
      <c r="E23" s="8" t="s">
        <v>189</v>
      </c>
      <c r="F23" s="11" t="s">
        <v>181</v>
      </c>
      <c r="G23" s="8" t="s">
        <v>177</v>
      </c>
      <c r="H23" s="8" t="s">
        <v>147</v>
      </c>
      <c r="I23" s="9" t="s">
        <v>21</v>
      </c>
    </row>
    <row r="24" customFormat="false" ht="23.25" hidden="false" customHeight="true" outlineLevel="0" collapsed="false">
      <c r="A24" s="8" t="s">
        <v>67</v>
      </c>
      <c r="B24" s="8" t="n">
        <v>2025</v>
      </c>
      <c r="C24" s="8" t="s">
        <v>187</v>
      </c>
      <c r="D24" s="8" t="s">
        <v>190</v>
      </c>
      <c r="E24" s="8" t="s">
        <v>191</v>
      </c>
      <c r="F24" s="8" t="s">
        <v>192</v>
      </c>
      <c r="G24" s="8" t="s">
        <v>193</v>
      </c>
      <c r="H24" s="8" t="s">
        <v>194</v>
      </c>
      <c r="I24" s="9" t="s">
        <v>21</v>
      </c>
    </row>
    <row r="25" customFormat="false" ht="23.25" hidden="false" customHeight="true" outlineLevel="0" collapsed="false">
      <c r="A25" s="8" t="s">
        <v>88</v>
      </c>
      <c r="B25" s="8" t="n">
        <v>2021</v>
      </c>
      <c r="C25" s="8" t="s">
        <v>90</v>
      </c>
      <c r="D25" s="11" t="s">
        <v>195</v>
      </c>
      <c r="E25" s="8" t="s">
        <v>196</v>
      </c>
      <c r="F25" s="11" t="s">
        <v>197</v>
      </c>
      <c r="G25" s="8" t="s">
        <v>198</v>
      </c>
      <c r="H25" s="8" t="s">
        <v>199</v>
      </c>
      <c r="I25" s="9" t="s">
        <v>21</v>
      </c>
    </row>
    <row r="26" customFormat="false" ht="23.25" hidden="false" customHeight="true" outlineLevel="0" collapsed="false">
      <c r="A26" s="8" t="s">
        <v>88</v>
      </c>
      <c r="B26" s="8" t="n">
        <v>2022</v>
      </c>
      <c r="C26" s="8" t="s">
        <v>90</v>
      </c>
      <c r="D26" s="11" t="s">
        <v>200</v>
      </c>
      <c r="E26" s="8" t="s">
        <v>201</v>
      </c>
      <c r="F26" s="8" t="s">
        <v>202</v>
      </c>
      <c r="G26" s="8" t="s">
        <v>198</v>
      </c>
      <c r="H26" s="8" t="s">
        <v>203</v>
      </c>
      <c r="I26" s="9" t="s">
        <v>21</v>
      </c>
    </row>
    <row r="27" customFormat="false" ht="45.75" hidden="false" customHeight="true" outlineLevel="0" collapsed="false">
      <c r="A27" s="8" t="s">
        <v>88</v>
      </c>
      <c r="B27" s="8" t="n">
        <v>2023</v>
      </c>
      <c r="C27" s="8" t="s">
        <v>204</v>
      </c>
      <c r="D27" s="8" t="s">
        <v>205</v>
      </c>
      <c r="E27" s="11" t="s">
        <v>184</v>
      </c>
      <c r="F27" s="11" t="s">
        <v>181</v>
      </c>
      <c r="G27" s="8" t="s">
        <v>198</v>
      </c>
      <c r="H27" s="8" t="s">
        <v>206</v>
      </c>
      <c r="I27" s="9" t="s">
        <v>21</v>
      </c>
    </row>
    <row r="28" customFormat="false" ht="23.25" hidden="false" customHeight="true" outlineLevel="0" collapsed="false">
      <c r="A28" s="8" t="s">
        <v>88</v>
      </c>
      <c r="B28" s="8" t="n">
        <v>2024</v>
      </c>
      <c r="C28" s="8" t="s">
        <v>98</v>
      </c>
      <c r="D28" s="8" t="s">
        <v>207</v>
      </c>
      <c r="E28" s="8" t="s">
        <v>208</v>
      </c>
      <c r="F28" s="11" t="s">
        <v>159</v>
      </c>
      <c r="G28" s="8" t="s">
        <v>198</v>
      </c>
      <c r="H28" s="8" t="s">
        <v>147</v>
      </c>
      <c r="I28" s="9" t="s">
        <v>21</v>
      </c>
    </row>
    <row r="29" customFormat="false" ht="34.5" hidden="false" customHeight="true" outlineLevel="0" collapsed="false">
      <c r="A29" s="8" t="s">
        <v>88</v>
      </c>
      <c r="B29" s="8" t="n">
        <v>2025</v>
      </c>
      <c r="C29" s="8" t="s">
        <v>98</v>
      </c>
      <c r="D29" s="11" t="s">
        <v>209</v>
      </c>
      <c r="E29" s="11" t="s">
        <v>210</v>
      </c>
      <c r="F29" s="8" t="s">
        <v>211</v>
      </c>
      <c r="G29" s="8" t="s">
        <v>198</v>
      </c>
      <c r="H29" s="8" t="s">
        <v>212</v>
      </c>
      <c r="I29" s="9" t="s">
        <v>21</v>
      </c>
    </row>
  </sheetData>
  <mergeCells count="2">
    <mergeCell ref="A1:I1"/>
    <mergeCell ref="A2:I2"/>
  </mergeCells>
  <hyperlinks>
    <hyperlink ref="I5" r:id="rId1" display="Abrir chat"/>
    <hyperlink ref="I6" r:id="rId2" display="Abrir chat"/>
    <hyperlink ref="I7" r:id="rId3" display="Abrir chat"/>
    <hyperlink ref="I8" r:id="rId4" display="Abrir chat"/>
    <hyperlink ref="I9" r:id="rId5" display="Abrir chat"/>
    <hyperlink ref="I10" r:id="rId6" display="Abrir chat"/>
    <hyperlink ref="I11" r:id="rId7" display="Abrir chat"/>
    <hyperlink ref="I12" r:id="rId8" display="Abrir chat"/>
    <hyperlink ref="I13" r:id="rId9" display="Abrir chat"/>
    <hyperlink ref="I14" r:id="rId10" display="Abrir chat"/>
    <hyperlink ref="I15" r:id="rId11" display="Abrir chat"/>
    <hyperlink ref="I16" r:id="rId12" display="Abrir chat"/>
    <hyperlink ref="I17" r:id="rId13" display="Abrir chat"/>
    <hyperlink ref="I18" r:id="rId14" display="Abrir chat"/>
    <hyperlink ref="I19" r:id="rId15" display="Abrir chat"/>
    <hyperlink ref="I20" r:id="rId16" display="Abrir chat"/>
    <hyperlink ref="I21" r:id="rId17" display="Abrir chat"/>
    <hyperlink ref="I22" r:id="rId18" display="Abrir chat"/>
    <hyperlink ref="I23" r:id="rId19" display="Abrir chat"/>
    <hyperlink ref="I24" r:id="rId20" display="Abrir chat"/>
    <hyperlink ref="I25" r:id="rId21" display="Abrir chat"/>
    <hyperlink ref="I26" r:id="rId22" display="Abrir chat"/>
    <hyperlink ref="I27" r:id="rId23" display="Abrir chat"/>
    <hyperlink ref="I28" r:id="rId24" display="Abrir chat"/>
    <hyperlink ref="I29" r:id="rId25" display="Abrir chat"/>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10"/>
  </cols>
  <sheetData>
    <row r="1" customFormat="false" ht="17.25" hidden="false" customHeight="true" outlineLevel="0" collapsed="false">
      <c r="A1" s="12" t="s">
        <v>213</v>
      </c>
    </row>
    <row r="2" customFormat="false" ht="15" hidden="false" customHeight="true" outlineLevel="0" collapsed="false">
      <c r="A2" s="13"/>
    </row>
    <row r="3" customFormat="false" ht="23.25" hidden="false" customHeight="true" outlineLevel="0" collapsed="false">
      <c r="A3" s="13" t="s">
        <v>214</v>
      </c>
    </row>
    <row r="4" customFormat="false" ht="15" hidden="false" customHeight="true" outlineLevel="0" collapsed="false">
      <c r="A4" s="13"/>
    </row>
    <row r="5" customFormat="false" ht="34.5" hidden="false" customHeight="true" outlineLevel="0" collapsed="false">
      <c r="A5" s="13" t="s">
        <v>215</v>
      </c>
    </row>
    <row r="6" customFormat="false" ht="15" hidden="false" customHeight="true" outlineLevel="0" collapsed="false">
      <c r="A6" s="13"/>
    </row>
    <row r="7" customFormat="false" ht="23.25" hidden="false" customHeight="true" outlineLevel="0" collapsed="false">
      <c r="A7" s="13" t="s">
        <v>216</v>
      </c>
    </row>
    <row r="8" customFormat="false" ht="15" hidden="false" customHeight="true" outlineLevel="0" collapsed="false">
      <c r="A8" s="13"/>
    </row>
    <row r="9" customFormat="false" ht="15" hidden="false" customHeight="true" outlineLevel="0" collapsed="false">
      <c r="A9" s="13" t="s">
        <v>217</v>
      </c>
    </row>
    <row r="10" customFormat="false" ht="15" hidden="false" customHeight="true" outlineLevel="0" collapsed="false">
      <c r="A10" s="13"/>
    </row>
    <row r="11" customFormat="false" ht="15" hidden="false" customHeight="true" outlineLevel="0" collapsed="false">
      <c r="A11" s="13" t="s">
        <v>218</v>
      </c>
    </row>
    <row r="12" customFormat="false" ht="23.25" hidden="false" customHeight="true" outlineLevel="0" collapsed="false">
      <c r="A12" s="13"/>
    </row>
    <row r="13" customFormat="false" ht="15" hidden="false" customHeight="true" outlineLevel="0" collapsed="false">
      <c r="A13" s="13" t="s">
        <v>219</v>
      </c>
    </row>
    <row r="14" customFormat="false" ht="45.75" hidden="false" customHeight="true" outlineLevel="0" collapsed="false">
      <c r="A14" s="13"/>
    </row>
    <row r="15" customFormat="false" ht="15" hidden="false" customHeight="true" outlineLevel="0" collapsed="false">
      <c r="A15" s="13" t="s">
        <v>220</v>
      </c>
    </row>
    <row r="16" customFormat="false" ht="23.25" hidden="false" customHeight="true" outlineLevel="0" collapsed="false">
      <c r="A16" s="13"/>
    </row>
    <row r="17" customFormat="false" ht="15" hidden="false" customHeight="true" outlineLevel="0" collapsed="false">
      <c r="A17" s="13" t="s">
        <v>221</v>
      </c>
    </row>
    <row r="18" customFormat="false" ht="23.25" hidden="false" customHeight="true" outlineLevel="0" collapsed="false">
      <c r="A18" s="13"/>
    </row>
    <row r="19" customFormat="false" ht="15" hidden="false" customHeight="true" outlineLevel="0" collapsed="false">
      <c r="A19" s="13"/>
    </row>
    <row r="20" customFormat="false" ht="23.25" hidden="false" customHeight="true" outlineLevel="0" collapsed="false">
      <c r="A20" s="13"/>
    </row>
    <row r="22" customFormat="false" ht="41.75" hidden="false" customHeight="false" outlineLevel="0" collapsed="false">
      <c r="A22" s="14" t="s">
        <v>222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6"/>
    <col collapsed="false" customWidth="true" hidden="false" outlineLevel="0" max="3" min="3" style="0" width="14"/>
    <col collapsed="false" customWidth="true" hidden="false" outlineLevel="0" max="4" min="4" style="0" width="70"/>
    <col collapsed="false" customWidth="true" hidden="false" outlineLevel="0" max="6" min="5" style="0" width="60"/>
  </cols>
  <sheetData>
    <row r="1" customFormat="false" ht="17.35" hidden="false" customHeight="false" outlineLevel="0" collapsed="false">
      <c r="A1" s="15" t="s">
        <v>223</v>
      </c>
    </row>
    <row r="2" customFormat="false" ht="135.8" hidden="false" customHeight="false" outlineLevel="0" collapsed="false">
      <c r="A2" s="16" t="s">
        <v>224</v>
      </c>
    </row>
    <row r="4" customFormat="false" ht="15" hidden="false" customHeight="false" outlineLevel="0" collapsed="false">
      <c r="A4" s="17" t="s">
        <v>225</v>
      </c>
    </row>
    <row r="5" customFormat="false" ht="15" hidden="false" customHeight="false" outlineLevel="0" collapsed="false">
      <c r="A5" s="18" t="s">
        <v>2</v>
      </c>
      <c r="B5" s="18" t="s">
        <v>226</v>
      </c>
      <c r="C5" s="18" t="s">
        <v>227</v>
      </c>
      <c r="D5" s="18" t="s">
        <v>228</v>
      </c>
      <c r="E5" s="18" t="s">
        <v>229</v>
      </c>
      <c r="F5" s="18" t="s">
        <v>230</v>
      </c>
    </row>
    <row r="6" customFormat="false" ht="28.35" hidden="false" customHeight="false" outlineLevel="0" collapsed="false">
      <c r="A6" s="14" t="s">
        <v>55</v>
      </c>
      <c r="B6" s="14" t="n">
        <v>2022</v>
      </c>
      <c r="C6" s="14" t="s">
        <v>231</v>
      </c>
      <c r="D6" s="14" t="n">
        <v>0.25</v>
      </c>
      <c r="E6" s="14" t="n">
        <v>0.75</v>
      </c>
      <c r="F6" s="14" t="s">
        <v>232</v>
      </c>
    </row>
    <row r="7" customFormat="false" ht="28.35" hidden="false" customHeight="false" outlineLevel="0" collapsed="false">
      <c r="A7" s="14" t="s">
        <v>67</v>
      </c>
      <c r="B7" s="14" t="n">
        <v>2022</v>
      </c>
      <c r="C7" s="14" t="s">
        <v>233</v>
      </c>
      <c r="D7" s="14" t="n">
        <v>0.25</v>
      </c>
      <c r="E7" s="14" t="n">
        <v>0.5</v>
      </c>
      <c r="F7" s="14" t="s">
        <v>234</v>
      </c>
    </row>
    <row r="8" customFormat="false" ht="28.35" hidden="false" customHeight="false" outlineLevel="0" collapsed="false">
      <c r="A8" s="14" t="s">
        <v>88</v>
      </c>
      <c r="B8" s="14" t="n">
        <v>2023</v>
      </c>
      <c r="C8" s="14" t="s">
        <v>231</v>
      </c>
      <c r="D8" s="14" t="n">
        <v>0.75</v>
      </c>
      <c r="E8" s="14" t="n">
        <v>1</v>
      </c>
      <c r="F8" s="14" t="s">
        <v>235</v>
      </c>
    </row>
    <row r="9" customFormat="false" ht="28.35" hidden="false" customHeight="false" outlineLevel="0" collapsed="false">
      <c r="A9" s="14" t="s">
        <v>67</v>
      </c>
      <c r="B9" s="14" t="n">
        <v>2021</v>
      </c>
      <c r="C9" s="14" t="s">
        <v>236</v>
      </c>
      <c r="D9" s="14"/>
      <c r="E9" s="14"/>
      <c r="F9" s="14" t="s">
        <v>237</v>
      </c>
    </row>
    <row r="10" customFormat="false" ht="28.35" hidden="false" customHeight="false" outlineLevel="0" collapsed="false">
      <c r="A10" s="14" t="s">
        <v>238</v>
      </c>
      <c r="B10" s="14"/>
      <c r="C10" s="14" t="s">
        <v>239</v>
      </c>
      <c r="D10" s="14"/>
      <c r="E10" s="14"/>
      <c r="F10" s="14" t="s">
        <v>240</v>
      </c>
    </row>
    <row r="12" customFormat="false" ht="15" hidden="false" customHeight="false" outlineLevel="0" collapsed="false">
      <c r="A12" s="17" t="s">
        <v>241</v>
      </c>
    </row>
    <row r="13" customFormat="false" ht="15" hidden="false" customHeight="false" outlineLevel="0" collapsed="false">
      <c r="A13" s="18" t="s">
        <v>2</v>
      </c>
      <c r="B13" s="18" t="s">
        <v>226</v>
      </c>
      <c r="C13" s="18" t="s">
        <v>227</v>
      </c>
      <c r="D13" s="18" t="s">
        <v>242</v>
      </c>
      <c r="E13" s="18" t="s">
        <v>243</v>
      </c>
    </row>
    <row r="14" customFormat="false" ht="28.35" hidden="false" customHeight="false" outlineLevel="0" collapsed="false">
      <c r="A14" s="14" t="s">
        <v>16</v>
      </c>
      <c r="B14" s="14" t="n">
        <v>2023</v>
      </c>
      <c r="C14" s="14" t="s">
        <v>233</v>
      </c>
      <c r="D14" s="14" t="s">
        <v>244</v>
      </c>
      <c r="E14" s="14" t="s">
        <v>245</v>
      </c>
    </row>
    <row r="15" customFormat="false" ht="28.35" hidden="false" customHeight="false" outlineLevel="0" collapsed="false">
      <c r="A15" s="14" t="s">
        <v>16</v>
      </c>
      <c r="B15" s="14" t="n">
        <v>2023</v>
      </c>
      <c r="C15" s="14" t="s">
        <v>239</v>
      </c>
      <c r="D15" s="14" t="s">
        <v>246</v>
      </c>
      <c r="E15" s="14" t="s">
        <v>247</v>
      </c>
    </row>
    <row r="16" customFormat="false" ht="28.35" hidden="false" customHeight="false" outlineLevel="0" collapsed="false">
      <c r="A16" s="14" t="s">
        <v>67</v>
      </c>
      <c r="B16" s="14" t="s">
        <v>248</v>
      </c>
      <c r="C16" s="14" t="s">
        <v>249</v>
      </c>
      <c r="D16" s="14" t="s">
        <v>250</v>
      </c>
      <c r="E16" s="14" t="s">
        <v>251</v>
      </c>
    </row>
    <row r="17" customFormat="false" ht="28.35" hidden="false" customHeight="false" outlineLevel="0" collapsed="false">
      <c r="A17" s="14" t="s">
        <v>67</v>
      </c>
      <c r="B17" s="14" t="s">
        <v>252</v>
      </c>
      <c r="C17" s="14" t="s">
        <v>233</v>
      </c>
      <c r="D17" s="14" t="s">
        <v>253</v>
      </c>
      <c r="E17" s="14" t="s">
        <v>254</v>
      </c>
    </row>
    <row r="18" customFormat="false" ht="28.35" hidden="false" customHeight="false" outlineLevel="0" collapsed="false">
      <c r="A18" s="14" t="s">
        <v>67</v>
      </c>
      <c r="B18" s="14" t="s">
        <v>252</v>
      </c>
      <c r="C18" s="14" t="s">
        <v>255</v>
      </c>
      <c r="D18" s="14" t="s">
        <v>256</v>
      </c>
      <c r="E18" s="14" t="s">
        <v>257</v>
      </c>
    </row>
    <row r="19" customFormat="false" ht="28.35" hidden="false" customHeight="false" outlineLevel="0" collapsed="false">
      <c r="A19" s="14" t="s">
        <v>67</v>
      </c>
      <c r="B19" s="14" t="s">
        <v>258</v>
      </c>
      <c r="C19" s="14" t="s">
        <v>259</v>
      </c>
      <c r="D19" s="14" t="s">
        <v>260</v>
      </c>
      <c r="E19" s="14" t="s">
        <v>261</v>
      </c>
    </row>
    <row r="20" customFormat="false" ht="41.75" hidden="false" customHeight="false" outlineLevel="0" collapsed="false">
      <c r="A20" s="14" t="s">
        <v>262</v>
      </c>
      <c r="B20" s="14" t="s">
        <v>263</v>
      </c>
      <c r="C20" s="14" t="s">
        <v>264</v>
      </c>
      <c r="D20" s="14" t="s">
        <v>265</v>
      </c>
      <c r="E20" s="14" t="s">
        <v>266</v>
      </c>
    </row>
    <row r="21" customFormat="false" ht="28.35" hidden="false" customHeight="false" outlineLevel="0" collapsed="false">
      <c r="A21" s="14" t="s">
        <v>262</v>
      </c>
      <c r="B21" s="14" t="s">
        <v>263</v>
      </c>
      <c r="C21" s="14" t="s">
        <v>267</v>
      </c>
      <c r="D21" s="14" t="s">
        <v>268</v>
      </c>
      <c r="E21" s="14" t="s">
        <v>269</v>
      </c>
    </row>
    <row r="22" customFormat="false" ht="28.35" hidden="false" customHeight="false" outlineLevel="0" collapsed="false">
      <c r="A22" s="14" t="s">
        <v>262</v>
      </c>
      <c r="B22" s="14" t="s">
        <v>270</v>
      </c>
      <c r="C22" s="14" t="s">
        <v>267</v>
      </c>
      <c r="D22" s="14" t="s">
        <v>271</v>
      </c>
      <c r="E22" s="14" t="s">
        <v>272</v>
      </c>
    </row>
    <row r="23" customFormat="false" ht="28.35" hidden="false" customHeight="false" outlineLevel="0" collapsed="false">
      <c r="A23" s="14" t="s">
        <v>16</v>
      </c>
      <c r="B23" s="14" t="s">
        <v>263</v>
      </c>
      <c r="C23" s="14" t="s">
        <v>267</v>
      </c>
      <c r="D23" s="14" t="s">
        <v>273</v>
      </c>
      <c r="E23" s="14" t="s">
        <v>274</v>
      </c>
    </row>
    <row r="24" customFormat="false" ht="28.35" hidden="false" customHeight="false" outlineLevel="0" collapsed="false">
      <c r="A24" s="14" t="s">
        <v>275</v>
      </c>
      <c r="B24" s="14" t="s">
        <v>276</v>
      </c>
      <c r="C24" s="14" t="s">
        <v>239</v>
      </c>
      <c r="D24" s="14" t="s">
        <v>277</v>
      </c>
      <c r="E24" s="14" t="s">
        <v>278</v>
      </c>
    </row>
    <row r="25" customFormat="false" ht="28.35" hidden="false" customHeight="false" outlineLevel="0" collapsed="false">
      <c r="A25" s="14" t="s">
        <v>275</v>
      </c>
      <c r="B25" s="14" t="s">
        <v>263</v>
      </c>
      <c r="C25" s="14" t="s">
        <v>231</v>
      </c>
      <c r="D25" s="14" t="s">
        <v>279</v>
      </c>
      <c r="E25" s="14" t="s">
        <v>280</v>
      </c>
    </row>
    <row r="26" customFormat="false" ht="28.35" hidden="false" customHeight="false" outlineLevel="0" collapsed="false">
      <c r="A26" s="14" t="s">
        <v>275</v>
      </c>
      <c r="B26" s="14" t="s">
        <v>263</v>
      </c>
      <c r="C26" s="14" t="s">
        <v>231</v>
      </c>
      <c r="D26" s="14" t="s">
        <v>281</v>
      </c>
      <c r="E26" s="14" t="s">
        <v>272</v>
      </c>
    </row>
    <row r="27" customFormat="false" ht="41.75" hidden="false" customHeight="false" outlineLevel="0" collapsed="false">
      <c r="A27" s="14" t="s">
        <v>88</v>
      </c>
      <c r="B27" s="14" t="s">
        <v>270</v>
      </c>
      <c r="C27" s="14" t="s">
        <v>267</v>
      </c>
      <c r="D27" s="14" t="s">
        <v>282</v>
      </c>
      <c r="E27" s="14" t="s">
        <v>283</v>
      </c>
    </row>
    <row r="28" customFormat="false" ht="28.35" hidden="false" customHeight="false" outlineLevel="0" collapsed="false">
      <c r="A28" s="14" t="s">
        <v>88</v>
      </c>
      <c r="B28" s="14" t="s">
        <v>252</v>
      </c>
      <c r="C28" s="14" t="s">
        <v>259</v>
      </c>
      <c r="D28" s="14" t="s">
        <v>284</v>
      </c>
      <c r="E28" s="14" t="s">
        <v>285</v>
      </c>
    </row>
    <row r="29" customFormat="false" ht="28.35" hidden="false" customHeight="false" outlineLevel="0" collapsed="false">
      <c r="A29" s="14" t="s">
        <v>88</v>
      </c>
      <c r="B29" s="14" t="s">
        <v>258</v>
      </c>
      <c r="C29" s="14" t="s">
        <v>233</v>
      </c>
      <c r="D29" s="14" t="s">
        <v>286</v>
      </c>
      <c r="E29" s="14" t="s">
        <v>272</v>
      </c>
    </row>
    <row r="31" customFormat="false" ht="15" hidden="false" customHeight="false" outlineLevel="0" collapsed="false">
      <c r="A31" s="17" t="s">
        <v>287</v>
      </c>
    </row>
    <row r="32" customFormat="false" ht="15" hidden="false" customHeight="false" outlineLevel="0" collapsed="false">
      <c r="A32" s="18" t="s">
        <v>288</v>
      </c>
      <c r="B32" s="18" t="s">
        <v>289</v>
      </c>
    </row>
    <row r="33" customFormat="false" ht="350.7" hidden="false" customHeight="false" outlineLevel="0" collapsed="false">
      <c r="A33" s="14" t="s">
        <v>290</v>
      </c>
      <c r="B33" s="14" t="s">
        <v>291</v>
      </c>
    </row>
    <row r="34" customFormat="false" ht="202.95" hidden="false" customHeight="false" outlineLevel="0" collapsed="false">
      <c r="A34" s="14" t="s">
        <v>292</v>
      </c>
      <c r="B34" s="14" t="s">
        <v>293</v>
      </c>
    </row>
    <row r="35" customFormat="false" ht="216.4" hidden="false" customHeight="false" outlineLevel="0" collapsed="false">
      <c r="A35" s="14" t="s">
        <v>294</v>
      </c>
      <c r="B35" s="14" t="s">
        <v>295</v>
      </c>
    </row>
    <row r="36" customFormat="false" ht="122.35" hidden="false" customHeight="false" outlineLevel="0" collapsed="false">
      <c r="A36" s="14" t="s">
        <v>296</v>
      </c>
      <c r="B36" s="14" t="s">
        <v>297</v>
      </c>
    </row>
    <row r="37" customFormat="false" ht="122.35" hidden="false" customHeight="false" outlineLevel="0" collapsed="false">
      <c r="A37" s="14" t="s">
        <v>298</v>
      </c>
      <c r="B37" s="14" t="s">
        <v>299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2026-08-16T14:24:34Z</dcterms:created>
  <dc:creator>openpyxl</dc:creator>
  <dc:description/>
  <dc:language>en-US</dc:language>
  <cp:lastModifiedBy/>
  <dcterms:modified xsi:type="dcterms:W3CDTF">2026-10-06T16:43:11Z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